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Planner" sheetId="3" state="visible" r:id="rId3"/>
    <sheet name="How it works" sheetId="4" state="visible" r:id="rId4"/>
  </sheets>
  <definedNames>
    <definedName name="Mode">Assumptions!$B$4</definedName>
    <definedName name="GlobalSL">Assumptions!$B$5</definedName>
    <definedName name="Uplift">Assumptions!$B$6</definedName>
    <definedName name="LTDelay">Assumptions!$B$7</definedName>
    <definedName name="HoldRate">Assumptions!$B$8</definedName>
    <definedName name="_xlnm._FilterDatabase" localSheetId="2" hidden="1">'Planner'!$A$4:$AA$64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#,##0.0"/>
    <numFmt numFmtId="168" formatCode="$#,##0"/>
  </numFmts>
  <fonts count="13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B7280"/>
    </font>
    <font>
      <b val="1"/>
    </font>
    <font>
      <b val="1"/>
      <color rgb="000000FF"/>
    </font>
    <font>
      <color rgb="006B7280"/>
    </font>
    <font>
      <b val="1"/>
      <color rgb="00FFFFFF"/>
    </font>
    <font>
      <b val="1"/>
      <color rgb="001F2A44"/>
      <sz val="18"/>
    </font>
    <font>
      <b val="1"/>
      <color rgb="001F2937"/>
    </font>
    <font>
      <b val="1"/>
      <color rgb="000F766E"/>
      <sz val="13"/>
    </font>
    <font>
      <b val="1"/>
      <color rgb="001F2A44"/>
      <sz val="13"/>
    </font>
    <font>
      <b val="1"/>
      <color rgb="001F2A44"/>
      <sz val="14"/>
    </font>
    <font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2A4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3" fontId="9" fillId="0" borderId="1" applyAlignment="1" pivotButton="0" quotePrefix="0" xfId="0">
      <alignment horizontal="right"/>
    </xf>
    <xf numFmtId="168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8" fontId="0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164" fontId="4" fillId="2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0" fillId="4" borderId="1" pivotButton="0" quotePrefix="0" xfId="0"/>
    <xf numFmtId="0" fontId="0" fillId="4" borderId="1" pivotButton="0" quotePrefix="0" xfId="0"/>
    <xf numFmtId="2" fontId="0" fillId="4" borderId="1" pivotButton="0" quotePrefix="0" xfId="0"/>
    <xf numFmtId="167" fontId="0" fillId="4" borderId="1" pivotButton="0" quotePrefix="0" xfId="0"/>
    <xf numFmtId="3" fontId="0" fillId="4" borderId="1" pivotButton="0" quotePrefix="0" xfId="0"/>
    <xf numFmtId="168" fontId="0" fillId="4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ont>
        <b val="1"/>
        <color rgb="00B42318"/>
      </font>
      <fill>
        <patternFill patternType="solid">
          <bgColor rgb="00FDE2E1"/>
        </patternFill>
      </fill>
    </dxf>
    <dxf>
      <font>
        <b val="1"/>
        <color rgb="00B54708"/>
      </font>
      <fill>
        <patternFill patternType="solid">
          <bgColor rgb="00FEF0C7"/>
        </patternFill>
      </fill>
    </dxf>
    <dxf>
      <font>
        <b val="1"/>
        <color rgb="00067647"/>
      </font>
      <fill>
        <patternFill patternType="solid">
          <bgColor rgb="00D1FA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'Summary'!C14</f>
            </strRef>
          </tx>
          <spPr>
            <a:ln>
              <a:prstDash val="solid"/>
            </a:ln>
          </spPr>
          <cat>
            <numRef>
              <f>'Summary'!$A$15:$A$20</f>
            </numRef>
          </cat>
          <val>
            <numRef>
              <f>'Summary'!$C$15:$C$20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SupplyPulse - replenishment summary</t>
        </is>
      </c>
    </row>
    <row r="2">
      <c r="A2" s="2" t="inlineStr">
        <is>
          <t>All figures are live formulas over the Planner sheet. Change inputs on Assumptions.</t>
        </is>
      </c>
    </row>
    <row r="4">
      <c r="A4" s="3" t="inlineStr">
        <is>
          <t>SKUs to order this week</t>
        </is>
      </c>
      <c r="B4" s="4">
        <f>COUNTIF(Planner!$Z$5:$Z$64,"Order")</f>
        <v/>
      </c>
    </row>
    <row r="5">
      <c r="A5" s="3" t="inlineStr">
        <is>
          <t>Total order value</t>
        </is>
      </c>
      <c r="B5" s="5">
        <f>SUM(Planner!$V$5:$V$64)</f>
        <v/>
      </c>
    </row>
    <row r="6">
      <c r="A6" s="3" t="inlineStr">
        <is>
          <t>Units to order</t>
        </is>
      </c>
      <c r="B6" s="4">
        <f>SUM(Planner!$U$5:$U$64)</f>
        <v/>
      </c>
    </row>
    <row r="7">
      <c r="A7" s="3" t="inlineStr">
        <is>
          <t>Safety stock value</t>
        </is>
      </c>
      <c r="B7" s="5">
        <f>SUM(Planner!$W$5:$W$64)</f>
        <v/>
      </c>
    </row>
    <row r="8">
      <c r="A8" s="3" t="inlineStr">
        <is>
          <t>Annual holding cost of safety stock</t>
        </is>
      </c>
      <c r="B8" s="5">
        <f>SUM(Planner!$AA$5:$AA$64)</f>
        <v/>
      </c>
    </row>
    <row r="9">
      <c r="A9" s="3" t="inlineStr">
        <is>
          <t>Expected fill rate (demand-weighted)</t>
        </is>
      </c>
      <c r="B9" s="6">
        <f>1-SUM(Planner!$Y$5:$Y$64)/SUM(Planner!$M$5:$M$64)</f>
        <v/>
      </c>
    </row>
    <row r="10">
      <c r="A10" s="3" t="inlineStr">
        <is>
          <t>SKUs flagged overstocked</t>
        </is>
      </c>
      <c r="B10" s="4">
        <f>COUNTIF(Planner!$Z$5:$Z$64,"Overstocked")</f>
        <v/>
      </c>
    </row>
    <row r="13">
      <c r="A13" s="7" t="inlineStr">
        <is>
          <t>By category</t>
        </is>
      </c>
    </row>
    <row r="14">
      <c r="A14" s="8" t="inlineStr">
        <is>
          <t>Category</t>
        </is>
      </c>
      <c r="B14" s="8" t="inlineStr">
        <is>
          <t>SKUs</t>
        </is>
      </c>
      <c r="C14" s="8" t="inlineStr">
        <is>
          <t>Order value</t>
        </is>
      </c>
      <c r="D14" s="8" t="inlineStr">
        <is>
          <t>Safety stock value</t>
        </is>
      </c>
      <c r="E14" s="8" t="inlineStr">
        <is>
          <t>SKUs to order</t>
        </is>
      </c>
    </row>
    <row r="15">
      <c r="A15" s="9" t="inlineStr">
        <is>
          <t>Beverages</t>
        </is>
      </c>
      <c r="B15" s="9">
        <f>COUNTIF(Planner!$B$5:$B$64,A15)</f>
        <v/>
      </c>
      <c r="C15" s="10">
        <f>SUMIF(Planner!$B$5:$B$64,A15,Planner!$V$5:$V$64)</f>
        <v/>
      </c>
      <c r="D15" s="10">
        <f>SUMIF(Planner!$B$5:$B$64,A15,Planner!$W$5:$W$64)</f>
        <v/>
      </c>
      <c r="E15" s="9">
        <f>COUNTIFS(Planner!$B$5:$B$64,A15,Planner!$Z$5:$Z$64,"Order")</f>
        <v/>
      </c>
    </row>
    <row r="16">
      <c r="A16" s="9" t="inlineStr">
        <is>
          <t>Household</t>
        </is>
      </c>
      <c r="B16" s="9">
        <f>COUNTIF(Planner!$B$5:$B$64,A16)</f>
        <v/>
      </c>
      <c r="C16" s="10">
        <f>SUMIF(Planner!$B$5:$B$64,A16,Planner!$V$5:$V$64)</f>
        <v/>
      </c>
      <c r="D16" s="10">
        <f>SUMIF(Planner!$B$5:$B$64,A16,Planner!$W$5:$W$64)</f>
        <v/>
      </c>
      <c r="E16" s="9">
        <f>COUNTIFS(Planner!$B$5:$B$64,A16,Planner!$Z$5:$Z$64,"Order")</f>
        <v/>
      </c>
    </row>
    <row r="17">
      <c r="A17" s="9" t="inlineStr">
        <is>
          <t>Personal Care</t>
        </is>
      </c>
      <c r="B17" s="9">
        <f>COUNTIF(Planner!$B$5:$B$64,A17)</f>
        <v/>
      </c>
      <c r="C17" s="10">
        <f>SUMIF(Planner!$B$5:$B$64,A17,Planner!$V$5:$V$64)</f>
        <v/>
      </c>
      <c r="D17" s="10">
        <f>SUMIF(Planner!$B$5:$B$64,A17,Planner!$W$5:$W$64)</f>
        <v/>
      </c>
      <c r="E17" s="9">
        <f>COUNTIFS(Planner!$B$5:$B$64,A17,Planner!$Z$5:$Z$64,"Order")</f>
        <v/>
      </c>
    </row>
    <row r="18">
      <c r="A18" s="9" t="inlineStr">
        <is>
          <t>Pet</t>
        </is>
      </c>
      <c r="B18" s="9">
        <f>COUNTIF(Planner!$B$5:$B$64,A18)</f>
        <v/>
      </c>
      <c r="C18" s="10">
        <f>SUMIF(Planner!$B$5:$B$64,A18,Planner!$V$5:$V$64)</f>
        <v/>
      </c>
      <c r="D18" s="10">
        <f>SUMIF(Planner!$B$5:$B$64,A18,Planner!$W$5:$W$64)</f>
        <v/>
      </c>
      <c r="E18" s="9">
        <f>COUNTIFS(Planner!$B$5:$B$64,A18,Planner!$Z$5:$Z$64,"Order")</f>
        <v/>
      </c>
    </row>
    <row r="19">
      <c r="A19" s="9" t="inlineStr">
        <is>
          <t>Seasonal</t>
        </is>
      </c>
      <c r="B19" s="9">
        <f>COUNTIF(Planner!$B$5:$B$64,A19)</f>
        <v/>
      </c>
      <c r="C19" s="10">
        <f>SUMIF(Planner!$B$5:$B$64,A19,Planner!$V$5:$V$64)</f>
        <v/>
      </c>
      <c r="D19" s="10">
        <f>SUMIF(Planner!$B$5:$B$64,A19,Planner!$W$5:$W$64)</f>
        <v/>
      </c>
      <c r="E19" s="9">
        <f>COUNTIFS(Planner!$B$5:$B$64,A19,Planner!$Z$5:$Z$64,"Order")</f>
        <v/>
      </c>
    </row>
    <row r="20">
      <c r="A20" s="9" t="inlineStr">
        <is>
          <t>Snacks</t>
        </is>
      </c>
      <c r="B20" s="9">
        <f>COUNTIF(Planner!$B$5:$B$64,A20)</f>
        <v/>
      </c>
      <c r="C20" s="10">
        <f>SUMIF(Planner!$B$5:$B$64,A20,Planner!$V$5:$V$64)</f>
        <v/>
      </c>
      <c r="D20" s="10">
        <f>SUMIF(Planner!$B$5:$B$64,A20,Planner!$W$5:$W$64)</f>
        <v/>
      </c>
      <c r="E20" s="9">
        <f>COUNTIFS(Planner!$B$5:$B$64,A20,Planner!$Z$5:$Z$64,"Order")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95" customWidth="1" min="3" max="3"/>
  </cols>
  <sheetData>
    <row r="1">
      <c r="A1" s="11" t="inlineStr">
        <is>
          <t>What-if assumptions</t>
        </is>
      </c>
    </row>
    <row r="2">
      <c r="A2" s="2" t="inlineStr">
        <is>
          <t>Yellow cells are inputs. Change them and Planner / Summary recalculate.</t>
        </is>
      </c>
    </row>
    <row r="4">
      <c r="A4" s="12" t="inlineStr">
        <is>
          <t>Service level mode</t>
        </is>
      </c>
      <c r="B4" s="13" t="inlineStr">
        <is>
          <t>Optimised per SKU</t>
        </is>
      </c>
      <c r="C4" s="14" t="inlineStr">
        <is>
          <t>Optimised per SKU uses the PuLP solution; Global applies one service level to every SKU.</t>
        </is>
      </c>
    </row>
    <row r="5">
      <c r="A5" s="12" t="inlineStr">
        <is>
          <t>Global cycle service level</t>
        </is>
      </c>
      <c r="B5" s="15" t="n">
        <v>0.95</v>
      </c>
      <c r="C5" s="14" t="inlineStr">
        <is>
          <t>Probability of not stocking out in a replenishment cycle (used when mode = Global).</t>
        </is>
      </c>
    </row>
    <row r="6">
      <c r="A6" s="12" t="inlineStr">
        <is>
          <t>Demand uplift</t>
        </is>
      </c>
      <c r="B6" s="15" t="n">
        <v>0</v>
      </c>
      <c r="C6" s="14" t="inlineStr">
        <is>
          <t>Scenario change vs. forecast, e.g. 0.10 = +10% demand (scales mean and sigma).</t>
        </is>
      </c>
    </row>
    <row r="7">
      <c r="A7" s="12" t="inlineStr">
        <is>
          <t>Lead-time delay (weeks)</t>
        </is>
      </c>
      <c r="B7" s="13" t="n">
        <v>0</v>
      </c>
      <c r="C7" s="14" t="inlineStr">
        <is>
          <t>Extra weeks added to every supplier lead time.</t>
        </is>
      </c>
    </row>
    <row r="8">
      <c r="A8" s="12" t="inlineStr">
        <is>
          <t>Annual holding rate</t>
        </is>
      </c>
      <c r="B8" s="15" t="n">
        <v>0.25</v>
      </c>
      <c r="C8" s="14" t="inlineStr">
        <is>
          <t>Share of unit cost per year.</t>
        </is>
      </c>
    </row>
  </sheetData>
  <dataValidations count="4">
    <dataValidation sqref="B4" showDropDown="0" showInputMessage="0" showErrorMessage="0" allowBlank="0" type="list">
      <formula1>"Optimised per SKU,Global"</formula1>
    </dataValidation>
    <dataValidation sqref="B5" showDropDown="0" showInputMessage="0" showErrorMessage="0" allowBlank="0" type="decimal" operator="between">
      <formula1>0.5</formula1>
      <formula2>0.9999</formula2>
    </dataValidation>
    <dataValidation sqref="B6" showDropDown="0" showInputMessage="0" showErrorMessage="0" allowBlank="0" type="decimal" operator="between">
      <formula1>-0.9</formula1>
      <formula2>3</formula2>
    </dataValidation>
    <dataValidation sqref="B7" showDropDown="0" showInputMessage="0" showErrorMessage="0" allowBlank="0" type="whole" operator="between">
      <formula1>0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6" customWidth="1" min="3" max="3"/>
    <col width="10" customWidth="1" min="4" max="4"/>
    <col width="11" customWidth="1" min="5" max="5"/>
    <col width="9" customWidth="1" min="6" max="6"/>
    <col width="8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1" customWidth="1" min="14" max="14"/>
    <col width="8" customWidth="1" min="15" max="15"/>
    <col width="12" customWidth="1" min="16" max="16"/>
    <col width="11" customWidth="1" min="17" max="17"/>
    <col width="11" customWidth="1" min="18" max="18"/>
    <col width="12" customWidth="1" min="19" max="19"/>
    <col width="11" customWidth="1" min="20" max="20"/>
    <col width="10" customWidth="1" min="21" max="21"/>
    <col width="12" customWidth="1" min="22" max="22"/>
    <col width="13" customWidth="1" min="23" max="23"/>
    <col width="9" customWidth="1" min="24" max="24"/>
    <col width="11" customWidth="1" min="25" max="25"/>
    <col width="12" customWidth="1" min="26" max="26"/>
    <col width="13" customWidth="1" min="27" max="27"/>
  </cols>
  <sheetData>
    <row r="1">
      <c r="A1" s="11" t="inlineStr">
        <is>
          <t>Replenishment planner</t>
        </is>
      </c>
    </row>
    <row r="2">
      <c r="A2" s="2" t="inlineStr">
        <is>
          <t>Columns A-L: data from the Python pipeline. Columns M-AA: live formulas driven by the Assumptions sheet.</t>
        </is>
      </c>
    </row>
    <row r="4" ht="44" customHeight="1">
      <c r="A4" s="8" t="inlineStr">
        <is>
          <t>SKU</t>
        </is>
      </c>
      <c r="B4" s="8" t="inlineStr">
        <is>
          <t>Category</t>
        </is>
      </c>
      <c r="C4" s="8" t="inlineStr">
        <is>
          <t>ABC</t>
        </is>
      </c>
      <c r="D4" s="8" t="inlineStr">
        <is>
          <t>Unit cost</t>
        </is>
      </c>
      <c r="E4" s="8" t="inlineStr">
        <is>
          <t>Lead time (wks)</t>
        </is>
      </c>
      <c r="F4" s="8" t="inlineStr">
        <is>
          <t>Case pack</t>
        </is>
      </c>
      <c r="G4" s="8" t="inlineStr">
        <is>
          <t>MOQ</t>
        </is>
      </c>
      <c r="H4" s="8" t="inlineStr">
        <is>
          <t>Avg weekly forecast</t>
        </is>
      </c>
      <c r="I4" s="8" t="inlineStr">
        <is>
          <t>Sigma over cover (units)</t>
        </is>
      </c>
      <c r="J4" s="8" t="inlineStr">
        <is>
          <t>Optimised z</t>
        </is>
      </c>
      <c r="K4" s="8" t="inlineStr">
        <is>
          <t>On hand</t>
        </is>
      </c>
      <c r="L4" s="8" t="inlineStr">
        <is>
          <t>On order</t>
        </is>
      </c>
      <c r="M4" s="8" t="inlineStr">
        <is>
          <t>Weekly demand (scenario)</t>
        </is>
      </c>
      <c r="N4" s="8" t="inlineStr">
        <is>
          <t>Lead time (scenario)</t>
        </is>
      </c>
      <c r="O4" s="8" t="inlineStr">
        <is>
          <t>z used</t>
        </is>
      </c>
      <c r="P4" s="8" t="inlineStr">
        <is>
          <t>Demand over cover</t>
        </is>
      </c>
      <c r="Q4" s="8" t="inlineStr">
        <is>
          <t>Sigma (scenario)</t>
        </is>
      </c>
      <c r="R4" s="8" t="inlineStr">
        <is>
          <t>Safety stock</t>
        </is>
      </c>
      <c r="S4" s="8" t="inlineStr">
        <is>
          <t>Order-up-to level</t>
        </is>
      </c>
      <c r="T4" s="8" t="inlineStr">
        <is>
          <t>Inventory position</t>
        </is>
      </c>
      <c r="U4" s="8" t="inlineStr">
        <is>
          <t>Order qty</t>
        </is>
      </c>
      <c r="V4" s="8" t="inlineStr">
        <is>
          <t>Order value</t>
        </is>
      </c>
      <c r="W4" s="8" t="inlineStr">
        <is>
          <t>Safety stock value</t>
        </is>
      </c>
      <c r="X4" s="8" t="inlineStr">
        <is>
          <t>Weeks of cover</t>
        </is>
      </c>
      <c r="Y4" s="8" t="inlineStr">
        <is>
          <t>Exp. shortage / wk</t>
        </is>
      </c>
      <c r="Z4" s="8" t="inlineStr">
        <is>
          <t>Status</t>
        </is>
      </c>
      <c r="AA4" s="8" t="inlineStr">
        <is>
          <t>Annual SS holding cost</t>
        </is>
      </c>
    </row>
    <row r="5">
      <c r="A5" s="9" t="inlineStr">
        <is>
          <t>SKU-001</t>
        </is>
      </c>
      <c r="B5" s="9" t="inlineStr">
        <is>
          <t>Pet</t>
        </is>
      </c>
      <c r="C5" s="9" t="inlineStr">
        <is>
          <t>A</t>
        </is>
      </c>
      <c r="D5" s="16" t="n">
        <v>4.14</v>
      </c>
      <c r="E5" s="9" t="n">
        <v>2</v>
      </c>
      <c r="F5" s="9" t="n">
        <v>12</v>
      </c>
      <c r="G5" s="9" t="n">
        <v>48</v>
      </c>
      <c r="H5" s="17" t="n">
        <v>150.7</v>
      </c>
      <c r="I5" s="17" t="n">
        <v>128.9</v>
      </c>
      <c r="J5" s="17" t="n">
        <v>2.4</v>
      </c>
      <c r="K5" s="18" t="n">
        <v>363.5</v>
      </c>
      <c r="L5" s="18" t="n">
        <v>425</v>
      </c>
      <c r="M5" s="19">
        <f>H5*(1+Uplift)</f>
        <v/>
      </c>
      <c r="N5" s="20">
        <f>E5+LTDelay</f>
        <v/>
      </c>
      <c r="O5" s="21">
        <f>IF(Mode="Global",NORMSINV(GlobalSL),J5)</f>
        <v/>
      </c>
      <c r="P5" s="22">
        <f>M5*(N5+1)</f>
        <v/>
      </c>
      <c r="Q5" s="19">
        <f>I5*(1+Uplift)*SQRT((N5+1)/(E5+1))</f>
        <v/>
      </c>
      <c r="R5" s="22">
        <f>O5*Q5</f>
        <v/>
      </c>
      <c r="S5" s="22">
        <f>P5+R5</f>
        <v/>
      </c>
      <c r="T5" s="22">
        <f>K5+L5</f>
        <v/>
      </c>
      <c r="U5" s="23">
        <f>IF(S5-T5&lt;=0,0,MAX(G5,CEILING(S5-T5,F5)))</f>
        <v/>
      </c>
      <c r="V5" s="24">
        <f>U5*D5</f>
        <v/>
      </c>
      <c r="W5" s="24">
        <f>R5*D5</f>
        <v/>
      </c>
      <c r="X5" s="19">
        <f>IF(M5&gt;0,K5/M5,0)</f>
        <v/>
      </c>
      <c r="Y5" s="21">
        <f>Q5*(NORMDIST(O5,0,1,FALSE)-O5*(1-NORMSDIST(O5)))</f>
        <v/>
      </c>
      <c r="Z5" s="20">
        <f>IF(U5&gt;0,"Order",IF(T5&gt;1.3*S5,"Overstocked","Hold"))</f>
        <v/>
      </c>
      <c r="AA5" s="24">
        <f>W5*HoldRate</f>
        <v/>
      </c>
    </row>
    <row r="6">
      <c r="A6" s="9" t="inlineStr">
        <is>
          <t>SKU-002</t>
        </is>
      </c>
      <c r="B6" s="9" t="inlineStr">
        <is>
          <t>Snacks</t>
        </is>
      </c>
      <c r="C6" s="9" t="inlineStr">
        <is>
          <t>A</t>
        </is>
      </c>
      <c r="D6" s="16" t="n">
        <v>40.56</v>
      </c>
      <c r="E6" s="9" t="n">
        <v>1</v>
      </c>
      <c r="F6" s="9" t="n">
        <v>6</v>
      </c>
      <c r="G6" s="9" t="n">
        <v>6</v>
      </c>
      <c r="H6" s="17" t="n">
        <v>40.35</v>
      </c>
      <c r="I6" s="17" t="n">
        <v>16.8</v>
      </c>
      <c r="J6" s="17" t="n">
        <v>2.5</v>
      </c>
      <c r="K6" s="18" t="n">
        <v>38.1</v>
      </c>
      <c r="L6" s="18" t="n">
        <v>59.6</v>
      </c>
      <c r="M6" s="19">
        <f>H6*(1+Uplift)</f>
        <v/>
      </c>
      <c r="N6" s="20">
        <f>E6+LTDelay</f>
        <v/>
      </c>
      <c r="O6" s="21">
        <f>IF(Mode="Global",NORMSINV(GlobalSL),J6)</f>
        <v/>
      </c>
      <c r="P6" s="22">
        <f>M6*(N6+1)</f>
        <v/>
      </c>
      <c r="Q6" s="19">
        <f>I6*(1+Uplift)*SQRT((N6+1)/(E6+1))</f>
        <v/>
      </c>
      <c r="R6" s="22">
        <f>O6*Q6</f>
        <v/>
      </c>
      <c r="S6" s="22">
        <f>P6+R6</f>
        <v/>
      </c>
      <c r="T6" s="22">
        <f>K6+L6</f>
        <v/>
      </c>
      <c r="U6" s="23">
        <f>IF(S6-T6&lt;=0,0,MAX(G6,CEILING(S6-T6,F6)))</f>
        <v/>
      </c>
      <c r="V6" s="24">
        <f>U6*D6</f>
        <v/>
      </c>
      <c r="W6" s="24">
        <f>R6*D6</f>
        <v/>
      </c>
      <c r="X6" s="19">
        <f>IF(M6&gt;0,K6/M6,0)</f>
        <v/>
      </c>
      <c r="Y6" s="21">
        <f>Q6*(NORMDIST(O6,0,1,FALSE)-O6*(1-NORMSDIST(O6)))</f>
        <v/>
      </c>
      <c r="Z6" s="20">
        <f>IF(U6&gt;0,"Order",IF(T6&gt;1.3*S6,"Overstocked","Hold"))</f>
        <v/>
      </c>
      <c r="AA6" s="24">
        <f>W6*HoldRate</f>
        <v/>
      </c>
    </row>
    <row r="7">
      <c r="A7" s="9" t="inlineStr">
        <is>
          <t>SKU-003</t>
        </is>
      </c>
      <c r="B7" s="9" t="inlineStr">
        <is>
          <t>Beverages</t>
        </is>
      </c>
      <c r="C7" s="9" t="inlineStr">
        <is>
          <t>B</t>
        </is>
      </c>
      <c r="D7" s="16" t="n">
        <v>3.83</v>
      </c>
      <c r="E7" s="9" t="n">
        <v>2</v>
      </c>
      <c r="F7" s="9" t="n">
        <v>24</v>
      </c>
      <c r="G7" s="9" t="n">
        <v>24</v>
      </c>
      <c r="H7" s="17" t="n">
        <v>88.33</v>
      </c>
      <c r="I7" s="17" t="n">
        <v>65.8</v>
      </c>
      <c r="J7" s="17" t="n">
        <v>2.2</v>
      </c>
      <c r="K7" s="18" t="n">
        <v>147.6</v>
      </c>
      <c r="L7" s="18" t="n">
        <v>154.5</v>
      </c>
      <c r="M7" s="19">
        <f>H7*(1+Uplift)</f>
        <v/>
      </c>
      <c r="N7" s="20">
        <f>E7+LTDelay</f>
        <v/>
      </c>
      <c r="O7" s="21">
        <f>IF(Mode="Global",NORMSINV(GlobalSL),J7)</f>
        <v/>
      </c>
      <c r="P7" s="22">
        <f>M7*(N7+1)</f>
        <v/>
      </c>
      <c r="Q7" s="19">
        <f>I7*(1+Uplift)*SQRT((N7+1)/(E7+1))</f>
        <v/>
      </c>
      <c r="R7" s="22">
        <f>O7*Q7</f>
        <v/>
      </c>
      <c r="S7" s="22">
        <f>P7+R7</f>
        <v/>
      </c>
      <c r="T7" s="22">
        <f>K7+L7</f>
        <v/>
      </c>
      <c r="U7" s="23">
        <f>IF(S7-T7&lt;=0,0,MAX(G7,CEILING(S7-T7,F7)))</f>
        <v/>
      </c>
      <c r="V7" s="24">
        <f>U7*D7</f>
        <v/>
      </c>
      <c r="W7" s="24">
        <f>R7*D7</f>
        <v/>
      </c>
      <c r="X7" s="19">
        <f>IF(M7&gt;0,K7/M7,0)</f>
        <v/>
      </c>
      <c r="Y7" s="21">
        <f>Q7*(NORMDIST(O7,0,1,FALSE)-O7*(1-NORMSDIST(O7)))</f>
        <v/>
      </c>
      <c r="Z7" s="20">
        <f>IF(U7&gt;0,"Order",IF(T7&gt;1.3*S7,"Overstocked","Hold"))</f>
        <v/>
      </c>
      <c r="AA7" s="24">
        <f>W7*HoldRate</f>
        <v/>
      </c>
    </row>
    <row r="8">
      <c r="A8" s="9" t="inlineStr">
        <is>
          <t>SKU-004</t>
        </is>
      </c>
      <c r="B8" s="9" t="inlineStr">
        <is>
          <t>Beverages</t>
        </is>
      </c>
      <c r="C8" s="9" t="inlineStr">
        <is>
          <t>A</t>
        </is>
      </c>
      <c r="D8" s="16" t="n">
        <v>14.45</v>
      </c>
      <c r="E8" s="9" t="n">
        <v>4</v>
      </c>
      <c r="F8" s="9" t="n">
        <v>6</v>
      </c>
      <c r="G8" s="9" t="n">
        <v>24</v>
      </c>
      <c r="H8" s="17" t="n">
        <v>35.66</v>
      </c>
      <c r="I8" s="17" t="n">
        <v>81.59999999999999</v>
      </c>
      <c r="J8" s="17" t="n">
        <v>2.2</v>
      </c>
      <c r="K8" s="18" t="n">
        <v>224.3</v>
      </c>
      <c r="L8" s="18" t="n">
        <v>133.8</v>
      </c>
      <c r="M8" s="19">
        <f>H8*(1+Uplift)</f>
        <v/>
      </c>
      <c r="N8" s="20">
        <f>E8+LTDelay</f>
        <v/>
      </c>
      <c r="O8" s="21">
        <f>IF(Mode="Global",NORMSINV(GlobalSL),J8)</f>
        <v/>
      </c>
      <c r="P8" s="22">
        <f>M8*(N8+1)</f>
        <v/>
      </c>
      <c r="Q8" s="19">
        <f>I8*(1+Uplift)*SQRT((N8+1)/(E8+1))</f>
        <v/>
      </c>
      <c r="R8" s="22">
        <f>O8*Q8</f>
        <v/>
      </c>
      <c r="S8" s="22">
        <f>P8+R8</f>
        <v/>
      </c>
      <c r="T8" s="22">
        <f>K8+L8</f>
        <v/>
      </c>
      <c r="U8" s="23">
        <f>IF(S8-T8&lt;=0,0,MAX(G8,CEILING(S8-T8,F8)))</f>
        <v/>
      </c>
      <c r="V8" s="24">
        <f>U8*D8</f>
        <v/>
      </c>
      <c r="W8" s="24">
        <f>R8*D8</f>
        <v/>
      </c>
      <c r="X8" s="19">
        <f>IF(M8&gt;0,K8/M8,0)</f>
        <v/>
      </c>
      <c r="Y8" s="21">
        <f>Q8*(NORMDIST(O8,0,1,FALSE)-O8*(1-NORMSDIST(O8)))</f>
        <v/>
      </c>
      <c r="Z8" s="20">
        <f>IF(U8&gt;0,"Order",IF(T8&gt;1.3*S8,"Overstocked","Hold"))</f>
        <v/>
      </c>
      <c r="AA8" s="24">
        <f>W8*HoldRate</f>
        <v/>
      </c>
    </row>
    <row r="9">
      <c r="A9" s="9" t="inlineStr">
        <is>
          <t>SKU-005</t>
        </is>
      </c>
      <c r="B9" s="9" t="inlineStr">
        <is>
          <t>Snacks</t>
        </is>
      </c>
      <c r="C9" s="9" t="inlineStr">
        <is>
          <t>B</t>
        </is>
      </c>
      <c r="D9" s="16" t="n">
        <v>3.59</v>
      </c>
      <c r="E9" s="9" t="n">
        <v>3</v>
      </c>
      <c r="F9" s="9" t="n">
        <v>6</v>
      </c>
      <c r="G9" s="9" t="n">
        <v>12</v>
      </c>
      <c r="H9" s="17" t="n">
        <v>79.3</v>
      </c>
      <c r="I9" s="17" t="n">
        <v>65.2</v>
      </c>
      <c r="J9" s="17" t="n">
        <v>2.4</v>
      </c>
      <c r="K9" s="18" t="n">
        <v>63.9</v>
      </c>
      <c r="L9" s="18" t="n">
        <v>400.6</v>
      </c>
      <c r="M9" s="19">
        <f>H9*(1+Uplift)</f>
        <v/>
      </c>
      <c r="N9" s="20">
        <f>E9+LTDelay</f>
        <v/>
      </c>
      <c r="O9" s="21">
        <f>IF(Mode="Global",NORMSINV(GlobalSL),J9)</f>
        <v/>
      </c>
      <c r="P9" s="22">
        <f>M9*(N9+1)</f>
        <v/>
      </c>
      <c r="Q9" s="19">
        <f>I9*(1+Uplift)*SQRT((N9+1)/(E9+1))</f>
        <v/>
      </c>
      <c r="R9" s="22">
        <f>O9*Q9</f>
        <v/>
      </c>
      <c r="S9" s="22">
        <f>P9+R9</f>
        <v/>
      </c>
      <c r="T9" s="22">
        <f>K9+L9</f>
        <v/>
      </c>
      <c r="U9" s="23">
        <f>IF(S9-T9&lt;=0,0,MAX(G9,CEILING(S9-T9,F9)))</f>
        <v/>
      </c>
      <c r="V9" s="24">
        <f>U9*D9</f>
        <v/>
      </c>
      <c r="W9" s="24">
        <f>R9*D9</f>
        <v/>
      </c>
      <c r="X9" s="19">
        <f>IF(M9&gt;0,K9/M9,0)</f>
        <v/>
      </c>
      <c r="Y9" s="21">
        <f>Q9*(NORMDIST(O9,0,1,FALSE)-O9*(1-NORMSDIST(O9)))</f>
        <v/>
      </c>
      <c r="Z9" s="20">
        <f>IF(U9&gt;0,"Order",IF(T9&gt;1.3*S9,"Overstocked","Hold"))</f>
        <v/>
      </c>
      <c r="AA9" s="24">
        <f>W9*HoldRate</f>
        <v/>
      </c>
    </row>
    <row r="10">
      <c r="A10" s="9" t="inlineStr">
        <is>
          <t>SKU-006</t>
        </is>
      </c>
      <c r="B10" s="9" t="inlineStr">
        <is>
          <t>Seasonal</t>
        </is>
      </c>
      <c r="C10" s="9" t="inlineStr">
        <is>
          <t>A</t>
        </is>
      </c>
      <c r="D10" s="16" t="n">
        <v>15.57</v>
      </c>
      <c r="E10" s="9" t="n">
        <v>4</v>
      </c>
      <c r="F10" s="9" t="n">
        <v>24</v>
      </c>
      <c r="G10" s="9" t="n">
        <v>24</v>
      </c>
      <c r="H10" s="17" t="n">
        <v>179.9</v>
      </c>
      <c r="I10" s="17" t="n">
        <v>162.5</v>
      </c>
      <c r="J10" s="17" t="n">
        <v>2.6</v>
      </c>
      <c r="K10" s="18" t="n">
        <v>345.4</v>
      </c>
      <c r="L10" s="18" t="n">
        <v>1087.8</v>
      </c>
      <c r="M10" s="19">
        <f>H10*(1+Uplift)</f>
        <v/>
      </c>
      <c r="N10" s="20">
        <f>E10+LTDelay</f>
        <v/>
      </c>
      <c r="O10" s="21">
        <f>IF(Mode="Global",NORMSINV(GlobalSL),J10)</f>
        <v/>
      </c>
      <c r="P10" s="22">
        <f>M10*(N10+1)</f>
        <v/>
      </c>
      <c r="Q10" s="19">
        <f>I10*(1+Uplift)*SQRT((N10+1)/(E10+1))</f>
        <v/>
      </c>
      <c r="R10" s="22">
        <f>O10*Q10</f>
        <v/>
      </c>
      <c r="S10" s="22">
        <f>P10+R10</f>
        <v/>
      </c>
      <c r="T10" s="22">
        <f>K10+L10</f>
        <v/>
      </c>
      <c r="U10" s="23">
        <f>IF(S10-T10&lt;=0,0,MAX(G10,CEILING(S10-T10,F10)))</f>
        <v/>
      </c>
      <c r="V10" s="24">
        <f>U10*D10</f>
        <v/>
      </c>
      <c r="W10" s="24">
        <f>R10*D10</f>
        <v/>
      </c>
      <c r="X10" s="19">
        <f>IF(M10&gt;0,K10/M10,0)</f>
        <v/>
      </c>
      <c r="Y10" s="21">
        <f>Q10*(NORMDIST(O10,0,1,FALSE)-O10*(1-NORMSDIST(O10)))</f>
        <v/>
      </c>
      <c r="Z10" s="20">
        <f>IF(U10&gt;0,"Order",IF(T10&gt;1.3*S10,"Overstocked","Hold"))</f>
        <v/>
      </c>
      <c r="AA10" s="24">
        <f>W10*HoldRate</f>
        <v/>
      </c>
    </row>
    <row r="11">
      <c r="A11" s="9" t="inlineStr">
        <is>
          <t>SKU-007</t>
        </is>
      </c>
      <c r="B11" s="9" t="inlineStr">
        <is>
          <t>Personal Care</t>
        </is>
      </c>
      <c r="C11" s="9" t="inlineStr">
        <is>
          <t>A</t>
        </is>
      </c>
      <c r="D11" s="16" t="n">
        <v>10.05</v>
      </c>
      <c r="E11" s="9" t="n">
        <v>1</v>
      </c>
      <c r="F11" s="9" t="n">
        <v>24</v>
      </c>
      <c r="G11" s="9" t="n">
        <v>24</v>
      </c>
      <c r="H11" s="17" t="n">
        <v>82.8</v>
      </c>
      <c r="I11" s="17" t="n">
        <v>25.9</v>
      </c>
      <c r="J11" s="17" t="n">
        <v>2.5</v>
      </c>
      <c r="K11" s="18" t="n">
        <v>73.40000000000001</v>
      </c>
      <c r="L11" s="18" t="n">
        <v>125.9</v>
      </c>
      <c r="M11" s="19">
        <f>H11*(1+Uplift)</f>
        <v/>
      </c>
      <c r="N11" s="20">
        <f>E11+LTDelay</f>
        <v/>
      </c>
      <c r="O11" s="21">
        <f>IF(Mode="Global",NORMSINV(GlobalSL),J11)</f>
        <v/>
      </c>
      <c r="P11" s="22">
        <f>M11*(N11+1)</f>
        <v/>
      </c>
      <c r="Q11" s="19">
        <f>I11*(1+Uplift)*SQRT((N11+1)/(E11+1))</f>
        <v/>
      </c>
      <c r="R11" s="22">
        <f>O11*Q11</f>
        <v/>
      </c>
      <c r="S11" s="22">
        <f>P11+R11</f>
        <v/>
      </c>
      <c r="T11" s="22">
        <f>K11+L11</f>
        <v/>
      </c>
      <c r="U11" s="23">
        <f>IF(S11-T11&lt;=0,0,MAX(G11,CEILING(S11-T11,F11)))</f>
        <v/>
      </c>
      <c r="V11" s="24">
        <f>U11*D11</f>
        <v/>
      </c>
      <c r="W11" s="24">
        <f>R11*D11</f>
        <v/>
      </c>
      <c r="X11" s="19">
        <f>IF(M11&gt;0,K11/M11,0)</f>
        <v/>
      </c>
      <c r="Y11" s="21">
        <f>Q11*(NORMDIST(O11,0,1,FALSE)-O11*(1-NORMSDIST(O11)))</f>
        <v/>
      </c>
      <c r="Z11" s="20">
        <f>IF(U11&gt;0,"Order",IF(T11&gt;1.3*S11,"Overstocked","Hold"))</f>
        <v/>
      </c>
      <c r="AA11" s="24">
        <f>W11*HoldRate</f>
        <v/>
      </c>
    </row>
    <row r="12">
      <c r="A12" s="9" t="inlineStr">
        <is>
          <t>SKU-008</t>
        </is>
      </c>
      <c r="B12" s="9" t="inlineStr">
        <is>
          <t>Household</t>
        </is>
      </c>
      <c r="C12" s="9" t="inlineStr">
        <is>
          <t>A</t>
        </is>
      </c>
      <c r="D12" s="16" t="n">
        <v>6.52</v>
      </c>
      <c r="E12" s="9" t="n">
        <v>1</v>
      </c>
      <c r="F12" s="9" t="n">
        <v>24</v>
      </c>
      <c r="G12" s="9" t="n">
        <v>48</v>
      </c>
      <c r="H12" s="17" t="n">
        <v>146.55</v>
      </c>
      <c r="I12" s="17" t="n">
        <v>75.59999999999999</v>
      </c>
      <c r="J12" s="17" t="n">
        <v>2.6</v>
      </c>
      <c r="K12" s="18" t="n">
        <v>128.8</v>
      </c>
      <c r="L12" s="18" t="n">
        <v>294.9</v>
      </c>
      <c r="M12" s="19">
        <f>H12*(1+Uplift)</f>
        <v/>
      </c>
      <c r="N12" s="20">
        <f>E12+LTDelay</f>
        <v/>
      </c>
      <c r="O12" s="21">
        <f>IF(Mode="Global",NORMSINV(GlobalSL),J12)</f>
        <v/>
      </c>
      <c r="P12" s="22">
        <f>M12*(N12+1)</f>
        <v/>
      </c>
      <c r="Q12" s="19">
        <f>I12*(1+Uplift)*SQRT((N12+1)/(E12+1))</f>
        <v/>
      </c>
      <c r="R12" s="22">
        <f>O12*Q12</f>
        <v/>
      </c>
      <c r="S12" s="22">
        <f>P12+R12</f>
        <v/>
      </c>
      <c r="T12" s="22">
        <f>K12+L12</f>
        <v/>
      </c>
      <c r="U12" s="23">
        <f>IF(S12-T12&lt;=0,0,MAX(G12,CEILING(S12-T12,F12)))</f>
        <v/>
      </c>
      <c r="V12" s="24">
        <f>U12*D12</f>
        <v/>
      </c>
      <c r="W12" s="24">
        <f>R12*D12</f>
        <v/>
      </c>
      <c r="X12" s="19">
        <f>IF(M12&gt;0,K12/M12,0)</f>
        <v/>
      </c>
      <c r="Y12" s="21">
        <f>Q12*(NORMDIST(O12,0,1,FALSE)-O12*(1-NORMSDIST(O12)))</f>
        <v/>
      </c>
      <c r="Z12" s="20">
        <f>IF(U12&gt;0,"Order",IF(T12&gt;1.3*S12,"Overstocked","Hold"))</f>
        <v/>
      </c>
      <c r="AA12" s="24">
        <f>W12*HoldRate</f>
        <v/>
      </c>
    </row>
    <row r="13">
      <c r="A13" s="9" t="inlineStr">
        <is>
          <t>SKU-009</t>
        </is>
      </c>
      <c r="B13" s="9" t="inlineStr">
        <is>
          <t>Seasonal</t>
        </is>
      </c>
      <c r="C13" s="9" t="inlineStr">
        <is>
          <t>B</t>
        </is>
      </c>
      <c r="D13" s="16" t="n">
        <v>7.15</v>
      </c>
      <c r="E13" s="9" t="n">
        <v>4</v>
      </c>
      <c r="F13" s="9" t="n">
        <v>24</v>
      </c>
      <c r="G13" s="9" t="n">
        <v>48</v>
      </c>
      <c r="H13" s="17" t="n">
        <v>68.59999999999999</v>
      </c>
      <c r="I13" s="17" t="n">
        <v>71</v>
      </c>
      <c r="J13" s="17" t="n">
        <v>2.5</v>
      </c>
      <c r="K13" s="18" t="n">
        <v>172.9</v>
      </c>
      <c r="L13" s="18" t="n">
        <v>380.4</v>
      </c>
      <c r="M13" s="19">
        <f>H13*(1+Uplift)</f>
        <v/>
      </c>
      <c r="N13" s="20">
        <f>E13+LTDelay</f>
        <v/>
      </c>
      <c r="O13" s="21">
        <f>IF(Mode="Global",NORMSINV(GlobalSL),J13)</f>
        <v/>
      </c>
      <c r="P13" s="22">
        <f>M13*(N13+1)</f>
        <v/>
      </c>
      <c r="Q13" s="19">
        <f>I13*(1+Uplift)*SQRT((N13+1)/(E13+1))</f>
        <v/>
      </c>
      <c r="R13" s="22">
        <f>O13*Q13</f>
        <v/>
      </c>
      <c r="S13" s="22">
        <f>P13+R13</f>
        <v/>
      </c>
      <c r="T13" s="22">
        <f>K13+L13</f>
        <v/>
      </c>
      <c r="U13" s="23">
        <f>IF(S13-T13&lt;=0,0,MAX(G13,CEILING(S13-T13,F13)))</f>
        <v/>
      </c>
      <c r="V13" s="24">
        <f>U13*D13</f>
        <v/>
      </c>
      <c r="W13" s="24">
        <f>R13*D13</f>
        <v/>
      </c>
      <c r="X13" s="19">
        <f>IF(M13&gt;0,K13/M13,0)</f>
        <v/>
      </c>
      <c r="Y13" s="21">
        <f>Q13*(NORMDIST(O13,0,1,FALSE)-O13*(1-NORMSDIST(O13)))</f>
        <v/>
      </c>
      <c r="Z13" s="20">
        <f>IF(U13&gt;0,"Order",IF(T13&gt;1.3*S13,"Overstocked","Hold"))</f>
        <v/>
      </c>
      <c r="AA13" s="24">
        <f>W13*HoldRate</f>
        <v/>
      </c>
    </row>
    <row r="14">
      <c r="A14" s="9" t="inlineStr">
        <is>
          <t>SKU-010</t>
        </is>
      </c>
      <c r="B14" s="9" t="inlineStr">
        <is>
          <t>Personal Care</t>
        </is>
      </c>
      <c r="C14" s="9" t="inlineStr">
        <is>
          <t>B</t>
        </is>
      </c>
      <c r="D14" s="16" t="n">
        <v>4.38</v>
      </c>
      <c r="E14" s="9" t="n">
        <v>1</v>
      </c>
      <c r="F14" s="9" t="n">
        <v>24</v>
      </c>
      <c r="G14" s="9" t="n">
        <v>24</v>
      </c>
      <c r="H14" s="17" t="n">
        <v>129.55</v>
      </c>
      <c r="I14" s="17" t="n">
        <v>61.9</v>
      </c>
      <c r="J14" s="17" t="n">
        <v>2.4</v>
      </c>
      <c r="K14" s="18" t="n">
        <v>202.9</v>
      </c>
      <c r="L14" s="18" t="n">
        <v>105.8</v>
      </c>
      <c r="M14" s="19">
        <f>H14*(1+Uplift)</f>
        <v/>
      </c>
      <c r="N14" s="20">
        <f>E14+LTDelay</f>
        <v/>
      </c>
      <c r="O14" s="21">
        <f>IF(Mode="Global",NORMSINV(GlobalSL),J14)</f>
        <v/>
      </c>
      <c r="P14" s="22">
        <f>M14*(N14+1)</f>
        <v/>
      </c>
      <c r="Q14" s="19">
        <f>I14*(1+Uplift)*SQRT((N14+1)/(E14+1))</f>
        <v/>
      </c>
      <c r="R14" s="22">
        <f>O14*Q14</f>
        <v/>
      </c>
      <c r="S14" s="22">
        <f>P14+R14</f>
        <v/>
      </c>
      <c r="T14" s="22">
        <f>K14+L14</f>
        <v/>
      </c>
      <c r="U14" s="23">
        <f>IF(S14-T14&lt;=0,0,MAX(G14,CEILING(S14-T14,F14)))</f>
        <v/>
      </c>
      <c r="V14" s="24">
        <f>U14*D14</f>
        <v/>
      </c>
      <c r="W14" s="24">
        <f>R14*D14</f>
        <v/>
      </c>
      <c r="X14" s="19">
        <f>IF(M14&gt;0,K14/M14,0)</f>
        <v/>
      </c>
      <c r="Y14" s="21">
        <f>Q14*(NORMDIST(O14,0,1,FALSE)-O14*(1-NORMSDIST(O14)))</f>
        <v/>
      </c>
      <c r="Z14" s="20">
        <f>IF(U14&gt;0,"Order",IF(T14&gt;1.3*S14,"Overstocked","Hold"))</f>
        <v/>
      </c>
      <c r="AA14" s="24">
        <f>W14*HoldRate</f>
        <v/>
      </c>
    </row>
    <row r="15">
      <c r="A15" s="9" t="inlineStr">
        <is>
          <t>SKU-011</t>
        </is>
      </c>
      <c r="B15" s="9" t="inlineStr">
        <is>
          <t>Household</t>
        </is>
      </c>
      <c r="C15" s="9" t="inlineStr">
        <is>
          <t>A</t>
        </is>
      </c>
      <c r="D15" s="16" t="n">
        <v>10.56</v>
      </c>
      <c r="E15" s="9" t="n">
        <v>1</v>
      </c>
      <c r="F15" s="9" t="n">
        <v>12</v>
      </c>
      <c r="G15" s="9" t="n">
        <v>12</v>
      </c>
      <c r="H15" s="17" t="n">
        <v>135.9</v>
      </c>
      <c r="I15" s="17" t="n">
        <v>46</v>
      </c>
      <c r="J15" s="17" t="n">
        <v>2.5</v>
      </c>
      <c r="K15" s="18" t="n">
        <v>103.7</v>
      </c>
      <c r="L15" s="18" t="n">
        <v>132.9</v>
      </c>
      <c r="M15" s="19">
        <f>H15*(1+Uplift)</f>
        <v/>
      </c>
      <c r="N15" s="20">
        <f>E15+LTDelay</f>
        <v/>
      </c>
      <c r="O15" s="21">
        <f>IF(Mode="Global",NORMSINV(GlobalSL),J15)</f>
        <v/>
      </c>
      <c r="P15" s="22">
        <f>M15*(N15+1)</f>
        <v/>
      </c>
      <c r="Q15" s="19">
        <f>I15*(1+Uplift)*SQRT((N15+1)/(E15+1))</f>
        <v/>
      </c>
      <c r="R15" s="22">
        <f>O15*Q15</f>
        <v/>
      </c>
      <c r="S15" s="22">
        <f>P15+R15</f>
        <v/>
      </c>
      <c r="T15" s="22">
        <f>K15+L15</f>
        <v/>
      </c>
      <c r="U15" s="23">
        <f>IF(S15-T15&lt;=0,0,MAX(G15,CEILING(S15-T15,F15)))</f>
        <v/>
      </c>
      <c r="V15" s="24">
        <f>U15*D15</f>
        <v/>
      </c>
      <c r="W15" s="24">
        <f>R15*D15</f>
        <v/>
      </c>
      <c r="X15" s="19">
        <f>IF(M15&gt;0,K15/M15,0)</f>
        <v/>
      </c>
      <c r="Y15" s="21">
        <f>Q15*(NORMDIST(O15,0,1,FALSE)-O15*(1-NORMSDIST(O15)))</f>
        <v/>
      </c>
      <c r="Z15" s="20">
        <f>IF(U15&gt;0,"Order",IF(T15&gt;1.3*S15,"Overstocked","Hold"))</f>
        <v/>
      </c>
      <c r="AA15" s="24">
        <f>W15*HoldRate</f>
        <v/>
      </c>
    </row>
    <row r="16">
      <c r="A16" s="9" t="inlineStr">
        <is>
          <t>SKU-012</t>
        </is>
      </c>
      <c r="B16" s="9" t="inlineStr">
        <is>
          <t>Seasonal</t>
        </is>
      </c>
      <c r="C16" s="9" t="inlineStr">
        <is>
          <t>C</t>
        </is>
      </c>
      <c r="D16" s="16" t="n">
        <v>5.13</v>
      </c>
      <c r="E16" s="9" t="n">
        <v>2</v>
      </c>
      <c r="F16" s="9" t="n">
        <v>24</v>
      </c>
      <c r="G16" s="9" t="n">
        <v>24</v>
      </c>
      <c r="H16" s="17" t="n">
        <v>24.7</v>
      </c>
      <c r="I16" s="17" t="n">
        <v>13.6</v>
      </c>
      <c r="J16" s="17" t="n">
        <v>2.1</v>
      </c>
      <c r="K16" s="18" t="n">
        <v>23.6</v>
      </c>
      <c r="L16" s="18" t="n">
        <v>71.40000000000001</v>
      </c>
      <c r="M16" s="19">
        <f>H16*(1+Uplift)</f>
        <v/>
      </c>
      <c r="N16" s="20">
        <f>E16+LTDelay</f>
        <v/>
      </c>
      <c r="O16" s="21">
        <f>IF(Mode="Global",NORMSINV(GlobalSL),J16)</f>
        <v/>
      </c>
      <c r="P16" s="22">
        <f>M16*(N16+1)</f>
        <v/>
      </c>
      <c r="Q16" s="19">
        <f>I16*(1+Uplift)*SQRT((N16+1)/(E16+1))</f>
        <v/>
      </c>
      <c r="R16" s="22">
        <f>O16*Q16</f>
        <v/>
      </c>
      <c r="S16" s="22">
        <f>P16+R16</f>
        <v/>
      </c>
      <c r="T16" s="22">
        <f>K16+L16</f>
        <v/>
      </c>
      <c r="U16" s="23">
        <f>IF(S16-T16&lt;=0,0,MAX(G16,CEILING(S16-T16,F16)))</f>
        <v/>
      </c>
      <c r="V16" s="24">
        <f>U16*D16</f>
        <v/>
      </c>
      <c r="W16" s="24">
        <f>R16*D16</f>
        <v/>
      </c>
      <c r="X16" s="19">
        <f>IF(M16&gt;0,K16/M16,0)</f>
        <v/>
      </c>
      <c r="Y16" s="21">
        <f>Q16*(NORMDIST(O16,0,1,FALSE)-O16*(1-NORMSDIST(O16)))</f>
        <v/>
      </c>
      <c r="Z16" s="20">
        <f>IF(U16&gt;0,"Order",IF(T16&gt;1.3*S16,"Overstocked","Hold"))</f>
        <v/>
      </c>
      <c r="AA16" s="24">
        <f>W16*HoldRate</f>
        <v/>
      </c>
    </row>
    <row r="17">
      <c r="A17" s="9" t="inlineStr">
        <is>
          <t>SKU-013</t>
        </is>
      </c>
      <c r="B17" s="9" t="inlineStr">
        <is>
          <t>Personal Care</t>
        </is>
      </c>
      <c r="C17" s="9" t="inlineStr">
        <is>
          <t>C</t>
        </is>
      </c>
      <c r="D17" s="16" t="n">
        <v>2.77</v>
      </c>
      <c r="E17" s="9" t="n">
        <v>4</v>
      </c>
      <c r="F17" s="9" t="n">
        <v>6</v>
      </c>
      <c r="G17" s="9" t="n">
        <v>12</v>
      </c>
      <c r="H17" s="17" t="n">
        <v>37</v>
      </c>
      <c r="I17" s="17" t="n">
        <v>36.7</v>
      </c>
      <c r="J17" s="17" t="n">
        <v>2.2</v>
      </c>
      <c r="K17" s="18" t="n">
        <v>68.8</v>
      </c>
      <c r="L17" s="18" t="n">
        <v>155.6</v>
      </c>
      <c r="M17" s="19">
        <f>H17*(1+Uplift)</f>
        <v/>
      </c>
      <c r="N17" s="20">
        <f>E17+LTDelay</f>
        <v/>
      </c>
      <c r="O17" s="21">
        <f>IF(Mode="Global",NORMSINV(GlobalSL),J17)</f>
        <v/>
      </c>
      <c r="P17" s="22">
        <f>M17*(N17+1)</f>
        <v/>
      </c>
      <c r="Q17" s="19">
        <f>I17*(1+Uplift)*SQRT((N17+1)/(E17+1))</f>
        <v/>
      </c>
      <c r="R17" s="22">
        <f>O17*Q17</f>
        <v/>
      </c>
      <c r="S17" s="22">
        <f>P17+R17</f>
        <v/>
      </c>
      <c r="T17" s="22">
        <f>K17+L17</f>
        <v/>
      </c>
      <c r="U17" s="23">
        <f>IF(S17-T17&lt;=0,0,MAX(G17,CEILING(S17-T17,F17)))</f>
        <v/>
      </c>
      <c r="V17" s="24">
        <f>U17*D17</f>
        <v/>
      </c>
      <c r="W17" s="24">
        <f>R17*D17</f>
        <v/>
      </c>
      <c r="X17" s="19">
        <f>IF(M17&gt;0,K17/M17,0)</f>
        <v/>
      </c>
      <c r="Y17" s="21">
        <f>Q17*(NORMDIST(O17,0,1,FALSE)-O17*(1-NORMSDIST(O17)))</f>
        <v/>
      </c>
      <c r="Z17" s="20">
        <f>IF(U17&gt;0,"Order",IF(T17&gt;1.3*S17,"Overstocked","Hold"))</f>
        <v/>
      </c>
      <c r="AA17" s="24">
        <f>W17*HoldRate</f>
        <v/>
      </c>
    </row>
    <row r="18">
      <c r="A18" s="9" t="inlineStr">
        <is>
          <t>SKU-014</t>
        </is>
      </c>
      <c r="B18" s="9" t="inlineStr">
        <is>
          <t>Snacks</t>
        </is>
      </c>
      <c r="C18" s="9" t="inlineStr">
        <is>
          <t>C</t>
        </is>
      </c>
      <c r="D18" s="16" t="n">
        <v>2.66</v>
      </c>
      <c r="E18" s="9" t="n">
        <v>3</v>
      </c>
      <c r="F18" s="9" t="n">
        <v>12</v>
      </c>
      <c r="G18" s="9" t="n">
        <v>12</v>
      </c>
      <c r="H18" s="17" t="n">
        <v>50.95</v>
      </c>
      <c r="I18" s="17" t="n">
        <v>42.8</v>
      </c>
      <c r="J18" s="17" t="n">
        <v>2.5</v>
      </c>
      <c r="K18" s="18" t="n">
        <v>133.7</v>
      </c>
      <c r="L18" s="18" t="n">
        <v>122.9</v>
      </c>
      <c r="M18" s="19">
        <f>H18*(1+Uplift)</f>
        <v/>
      </c>
      <c r="N18" s="20">
        <f>E18+LTDelay</f>
        <v/>
      </c>
      <c r="O18" s="21">
        <f>IF(Mode="Global",NORMSINV(GlobalSL),J18)</f>
        <v/>
      </c>
      <c r="P18" s="22">
        <f>M18*(N18+1)</f>
        <v/>
      </c>
      <c r="Q18" s="19">
        <f>I18*(1+Uplift)*SQRT((N18+1)/(E18+1))</f>
        <v/>
      </c>
      <c r="R18" s="22">
        <f>O18*Q18</f>
        <v/>
      </c>
      <c r="S18" s="22">
        <f>P18+R18</f>
        <v/>
      </c>
      <c r="T18" s="22">
        <f>K18+L18</f>
        <v/>
      </c>
      <c r="U18" s="23">
        <f>IF(S18-T18&lt;=0,0,MAX(G18,CEILING(S18-T18,F18)))</f>
        <v/>
      </c>
      <c r="V18" s="24">
        <f>U18*D18</f>
        <v/>
      </c>
      <c r="W18" s="24">
        <f>R18*D18</f>
        <v/>
      </c>
      <c r="X18" s="19">
        <f>IF(M18&gt;0,K18/M18,0)</f>
        <v/>
      </c>
      <c r="Y18" s="21">
        <f>Q18*(NORMDIST(O18,0,1,FALSE)-O18*(1-NORMSDIST(O18)))</f>
        <v/>
      </c>
      <c r="Z18" s="20">
        <f>IF(U18&gt;0,"Order",IF(T18&gt;1.3*S18,"Overstocked","Hold"))</f>
        <v/>
      </c>
      <c r="AA18" s="24">
        <f>W18*HoldRate</f>
        <v/>
      </c>
    </row>
    <row r="19">
      <c r="A19" s="9" t="inlineStr">
        <is>
          <t>SKU-015</t>
        </is>
      </c>
      <c r="B19" s="9" t="inlineStr">
        <is>
          <t>Seasonal</t>
        </is>
      </c>
      <c r="C19" s="9" t="inlineStr">
        <is>
          <t>B</t>
        </is>
      </c>
      <c r="D19" s="16" t="n">
        <v>8.48</v>
      </c>
      <c r="E19" s="9" t="n">
        <v>1</v>
      </c>
      <c r="F19" s="9" t="n">
        <v>12</v>
      </c>
      <c r="G19" s="9" t="n">
        <v>24</v>
      </c>
      <c r="H19" s="17" t="n">
        <v>52.35</v>
      </c>
      <c r="I19" s="17" t="n">
        <v>14.6</v>
      </c>
      <c r="J19" s="17" t="n">
        <v>2.5</v>
      </c>
      <c r="K19" s="18" t="n">
        <v>43.6</v>
      </c>
      <c r="L19" s="18" t="n">
        <v>52</v>
      </c>
      <c r="M19" s="19">
        <f>H19*(1+Uplift)</f>
        <v/>
      </c>
      <c r="N19" s="20">
        <f>E19+LTDelay</f>
        <v/>
      </c>
      <c r="O19" s="21">
        <f>IF(Mode="Global",NORMSINV(GlobalSL),J19)</f>
        <v/>
      </c>
      <c r="P19" s="22">
        <f>M19*(N19+1)</f>
        <v/>
      </c>
      <c r="Q19" s="19">
        <f>I19*(1+Uplift)*SQRT((N19+1)/(E19+1))</f>
        <v/>
      </c>
      <c r="R19" s="22">
        <f>O19*Q19</f>
        <v/>
      </c>
      <c r="S19" s="22">
        <f>P19+R19</f>
        <v/>
      </c>
      <c r="T19" s="22">
        <f>K19+L19</f>
        <v/>
      </c>
      <c r="U19" s="23">
        <f>IF(S19-T19&lt;=0,0,MAX(G19,CEILING(S19-T19,F19)))</f>
        <v/>
      </c>
      <c r="V19" s="24">
        <f>U19*D19</f>
        <v/>
      </c>
      <c r="W19" s="24">
        <f>R19*D19</f>
        <v/>
      </c>
      <c r="X19" s="19">
        <f>IF(M19&gt;0,K19/M19,0)</f>
        <v/>
      </c>
      <c r="Y19" s="21">
        <f>Q19*(NORMDIST(O19,0,1,FALSE)-O19*(1-NORMSDIST(O19)))</f>
        <v/>
      </c>
      <c r="Z19" s="20">
        <f>IF(U19&gt;0,"Order",IF(T19&gt;1.3*S19,"Overstocked","Hold"))</f>
        <v/>
      </c>
      <c r="AA19" s="24">
        <f>W19*HoldRate</f>
        <v/>
      </c>
    </row>
    <row r="20">
      <c r="A20" s="9" t="inlineStr">
        <is>
          <t>SKU-016</t>
        </is>
      </c>
      <c r="B20" s="9" t="inlineStr">
        <is>
          <t>Snacks</t>
        </is>
      </c>
      <c r="C20" s="9" t="inlineStr">
        <is>
          <t>A</t>
        </is>
      </c>
      <c r="D20" s="16" t="n">
        <v>26.13</v>
      </c>
      <c r="E20" s="9" t="n">
        <v>4</v>
      </c>
      <c r="F20" s="9" t="n">
        <v>24</v>
      </c>
      <c r="G20" s="9" t="n">
        <v>48</v>
      </c>
      <c r="H20" s="17" t="n">
        <v>71.8</v>
      </c>
      <c r="I20" s="17" t="n">
        <v>59.5</v>
      </c>
      <c r="J20" s="17" t="n">
        <v>2.3</v>
      </c>
      <c r="K20" s="18" t="n">
        <v>302.3</v>
      </c>
      <c r="L20" s="18" t="n">
        <v>186.2</v>
      </c>
      <c r="M20" s="19">
        <f>H20*(1+Uplift)</f>
        <v/>
      </c>
      <c r="N20" s="20">
        <f>E20+LTDelay</f>
        <v/>
      </c>
      <c r="O20" s="21">
        <f>IF(Mode="Global",NORMSINV(GlobalSL),J20)</f>
        <v/>
      </c>
      <c r="P20" s="22">
        <f>M20*(N20+1)</f>
        <v/>
      </c>
      <c r="Q20" s="19">
        <f>I20*(1+Uplift)*SQRT((N20+1)/(E20+1))</f>
        <v/>
      </c>
      <c r="R20" s="22">
        <f>O20*Q20</f>
        <v/>
      </c>
      <c r="S20" s="22">
        <f>P20+R20</f>
        <v/>
      </c>
      <c r="T20" s="22">
        <f>K20+L20</f>
        <v/>
      </c>
      <c r="U20" s="23">
        <f>IF(S20-T20&lt;=0,0,MAX(G20,CEILING(S20-T20,F20)))</f>
        <v/>
      </c>
      <c r="V20" s="24">
        <f>U20*D20</f>
        <v/>
      </c>
      <c r="W20" s="24">
        <f>R20*D20</f>
        <v/>
      </c>
      <c r="X20" s="19">
        <f>IF(M20&gt;0,K20/M20,0)</f>
        <v/>
      </c>
      <c r="Y20" s="21">
        <f>Q20*(NORMDIST(O20,0,1,FALSE)-O20*(1-NORMSDIST(O20)))</f>
        <v/>
      </c>
      <c r="Z20" s="20">
        <f>IF(U20&gt;0,"Order",IF(T20&gt;1.3*S20,"Overstocked","Hold"))</f>
        <v/>
      </c>
      <c r="AA20" s="24">
        <f>W20*HoldRate</f>
        <v/>
      </c>
    </row>
    <row r="21">
      <c r="A21" s="9" t="inlineStr">
        <is>
          <t>SKU-017</t>
        </is>
      </c>
      <c r="B21" s="9" t="inlineStr">
        <is>
          <t>Snacks</t>
        </is>
      </c>
      <c r="C21" s="9" t="inlineStr">
        <is>
          <t>A</t>
        </is>
      </c>
      <c r="D21" s="16" t="n">
        <v>8.4</v>
      </c>
      <c r="E21" s="9" t="n">
        <v>4</v>
      </c>
      <c r="F21" s="9" t="n">
        <v>24</v>
      </c>
      <c r="G21" s="9" t="n">
        <v>48</v>
      </c>
      <c r="H21" s="17" t="n">
        <v>251.56</v>
      </c>
      <c r="I21" s="17" t="n">
        <v>266.8</v>
      </c>
      <c r="J21" s="17" t="n">
        <v>2.4</v>
      </c>
      <c r="K21" s="18" t="n">
        <v>287.3</v>
      </c>
      <c r="L21" s="18" t="n">
        <v>1922.2</v>
      </c>
      <c r="M21" s="19">
        <f>H21*(1+Uplift)</f>
        <v/>
      </c>
      <c r="N21" s="20">
        <f>E21+LTDelay</f>
        <v/>
      </c>
      <c r="O21" s="21">
        <f>IF(Mode="Global",NORMSINV(GlobalSL),J21)</f>
        <v/>
      </c>
      <c r="P21" s="22">
        <f>M21*(N21+1)</f>
        <v/>
      </c>
      <c r="Q21" s="19">
        <f>I21*(1+Uplift)*SQRT((N21+1)/(E21+1))</f>
        <v/>
      </c>
      <c r="R21" s="22">
        <f>O21*Q21</f>
        <v/>
      </c>
      <c r="S21" s="22">
        <f>P21+R21</f>
        <v/>
      </c>
      <c r="T21" s="22">
        <f>K21+L21</f>
        <v/>
      </c>
      <c r="U21" s="23">
        <f>IF(S21-T21&lt;=0,0,MAX(G21,CEILING(S21-T21,F21)))</f>
        <v/>
      </c>
      <c r="V21" s="24">
        <f>U21*D21</f>
        <v/>
      </c>
      <c r="W21" s="24">
        <f>R21*D21</f>
        <v/>
      </c>
      <c r="X21" s="19">
        <f>IF(M21&gt;0,K21/M21,0)</f>
        <v/>
      </c>
      <c r="Y21" s="21">
        <f>Q21*(NORMDIST(O21,0,1,FALSE)-O21*(1-NORMSDIST(O21)))</f>
        <v/>
      </c>
      <c r="Z21" s="20">
        <f>IF(U21&gt;0,"Order",IF(T21&gt;1.3*S21,"Overstocked","Hold"))</f>
        <v/>
      </c>
      <c r="AA21" s="24">
        <f>W21*HoldRate</f>
        <v/>
      </c>
    </row>
    <row r="22">
      <c r="A22" s="9" t="inlineStr">
        <is>
          <t>SKU-018</t>
        </is>
      </c>
      <c r="B22" s="9" t="inlineStr">
        <is>
          <t>Household</t>
        </is>
      </c>
      <c r="C22" s="9" t="inlineStr">
        <is>
          <t>B</t>
        </is>
      </c>
      <c r="D22" s="16" t="n">
        <v>6.72</v>
      </c>
      <c r="E22" s="9" t="n">
        <v>4</v>
      </c>
      <c r="F22" s="9" t="n">
        <v>12</v>
      </c>
      <c r="G22" s="9" t="n">
        <v>48</v>
      </c>
      <c r="H22" s="17" t="n">
        <v>55.2</v>
      </c>
      <c r="I22" s="17" t="n">
        <v>33.9</v>
      </c>
      <c r="J22" s="17" t="n">
        <v>2.5</v>
      </c>
      <c r="K22" s="18" t="n">
        <v>62.2</v>
      </c>
      <c r="L22" s="18" t="n">
        <v>285.9</v>
      </c>
      <c r="M22" s="19">
        <f>H22*(1+Uplift)</f>
        <v/>
      </c>
      <c r="N22" s="20">
        <f>E22+LTDelay</f>
        <v/>
      </c>
      <c r="O22" s="21">
        <f>IF(Mode="Global",NORMSINV(GlobalSL),J22)</f>
        <v/>
      </c>
      <c r="P22" s="22">
        <f>M22*(N22+1)</f>
        <v/>
      </c>
      <c r="Q22" s="19">
        <f>I22*(1+Uplift)*SQRT((N22+1)/(E22+1))</f>
        <v/>
      </c>
      <c r="R22" s="22">
        <f>O22*Q22</f>
        <v/>
      </c>
      <c r="S22" s="22">
        <f>P22+R22</f>
        <v/>
      </c>
      <c r="T22" s="22">
        <f>K22+L22</f>
        <v/>
      </c>
      <c r="U22" s="23">
        <f>IF(S22-T22&lt;=0,0,MAX(G22,CEILING(S22-T22,F22)))</f>
        <v/>
      </c>
      <c r="V22" s="24">
        <f>U22*D22</f>
        <v/>
      </c>
      <c r="W22" s="24">
        <f>R22*D22</f>
        <v/>
      </c>
      <c r="X22" s="19">
        <f>IF(M22&gt;0,K22/M22,0)</f>
        <v/>
      </c>
      <c r="Y22" s="21">
        <f>Q22*(NORMDIST(O22,0,1,FALSE)-O22*(1-NORMSDIST(O22)))</f>
        <v/>
      </c>
      <c r="Z22" s="20">
        <f>IF(U22&gt;0,"Order",IF(T22&gt;1.3*S22,"Overstocked","Hold"))</f>
        <v/>
      </c>
      <c r="AA22" s="24">
        <f>W22*HoldRate</f>
        <v/>
      </c>
    </row>
    <row r="23">
      <c r="A23" s="9" t="inlineStr">
        <is>
          <t>SKU-019</t>
        </is>
      </c>
      <c r="B23" s="9" t="inlineStr">
        <is>
          <t>Pet</t>
        </is>
      </c>
      <c r="C23" s="9" t="inlineStr">
        <is>
          <t>A</t>
        </is>
      </c>
      <c r="D23" s="16" t="n">
        <v>9.289999999999999</v>
      </c>
      <c r="E23" s="9" t="n">
        <v>4</v>
      </c>
      <c r="F23" s="9" t="n">
        <v>12</v>
      </c>
      <c r="G23" s="9" t="n">
        <v>24</v>
      </c>
      <c r="H23" s="17" t="n">
        <v>151.46</v>
      </c>
      <c r="I23" s="17" t="n">
        <v>99.8</v>
      </c>
      <c r="J23" s="17" t="n">
        <v>2.6</v>
      </c>
      <c r="K23" s="18" t="n">
        <v>557</v>
      </c>
      <c r="L23" s="18" t="n">
        <v>506.4</v>
      </c>
      <c r="M23" s="19">
        <f>H23*(1+Uplift)</f>
        <v/>
      </c>
      <c r="N23" s="20">
        <f>E23+LTDelay</f>
        <v/>
      </c>
      <c r="O23" s="21">
        <f>IF(Mode="Global",NORMSINV(GlobalSL),J23)</f>
        <v/>
      </c>
      <c r="P23" s="22">
        <f>M23*(N23+1)</f>
        <v/>
      </c>
      <c r="Q23" s="19">
        <f>I23*(1+Uplift)*SQRT((N23+1)/(E23+1))</f>
        <v/>
      </c>
      <c r="R23" s="22">
        <f>O23*Q23</f>
        <v/>
      </c>
      <c r="S23" s="22">
        <f>P23+R23</f>
        <v/>
      </c>
      <c r="T23" s="22">
        <f>K23+L23</f>
        <v/>
      </c>
      <c r="U23" s="23">
        <f>IF(S23-T23&lt;=0,0,MAX(G23,CEILING(S23-T23,F23)))</f>
        <v/>
      </c>
      <c r="V23" s="24">
        <f>U23*D23</f>
        <v/>
      </c>
      <c r="W23" s="24">
        <f>R23*D23</f>
        <v/>
      </c>
      <c r="X23" s="19">
        <f>IF(M23&gt;0,K23/M23,0)</f>
        <v/>
      </c>
      <c r="Y23" s="21">
        <f>Q23*(NORMDIST(O23,0,1,FALSE)-O23*(1-NORMSDIST(O23)))</f>
        <v/>
      </c>
      <c r="Z23" s="20">
        <f>IF(U23&gt;0,"Order",IF(T23&gt;1.3*S23,"Overstocked","Hold"))</f>
        <v/>
      </c>
      <c r="AA23" s="24">
        <f>W23*HoldRate</f>
        <v/>
      </c>
    </row>
    <row r="24">
      <c r="A24" s="9" t="inlineStr">
        <is>
          <t>SKU-020</t>
        </is>
      </c>
      <c r="B24" s="9" t="inlineStr">
        <is>
          <t>Snacks</t>
        </is>
      </c>
      <c r="C24" s="9" t="inlineStr">
        <is>
          <t>C</t>
        </is>
      </c>
      <c r="D24" s="16" t="n">
        <v>21.01</v>
      </c>
      <c r="E24" s="9" t="n">
        <v>1</v>
      </c>
      <c r="F24" s="9" t="n">
        <v>6</v>
      </c>
      <c r="G24" s="9" t="n">
        <v>24</v>
      </c>
      <c r="H24" s="17" t="n">
        <v>11.9</v>
      </c>
      <c r="I24" s="17" t="n">
        <v>7.2</v>
      </c>
      <c r="J24" s="17" t="n">
        <v>2.5</v>
      </c>
      <c r="K24" s="18" t="n">
        <v>25.4</v>
      </c>
      <c r="L24" s="18" t="n">
        <v>14.7</v>
      </c>
      <c r="M24" s="19">
        <f>H24*(1+Uplift)</f>
        <v/>
      </c>
      <c r="N24" s="20">
        <f>E24+LTDelay</f>
        <v/>
      </c>
      <c r="O24" s="21">
        <f>IF(Mode="Global",NORMSINV(GlobalSL),J24)</f>
        <v/>
      </c>
      <c r="P24" s="22">
        <f>M24*(N24+1)</f>
        <v/>
      </c>
      <c r="Q24" s="19">
        <f>I24*(1+Uplift)*SQRT((N24+1)/(E24+1))</f>
        <v/>
      </c>
      <c r="R24" s="22">
        <f>O24*Q24</f>
        <v/>
      </c>
      <c r="S24" s="22">
        <f>P24+R24</f>
        <v/>
      </c>
      <c r="T24" s="22">
        <f>K24+L24</f>
        <v/>
      </c>
      <c r="U24" s="23">
        <f>IF(S24-T24&lt;=0,0,MAX(G24,CEILING(S24-T24,F24)))</f>
        <v/>
      </c>
      <c r="V24" s="24">
        <f>U24*D24</f>
        <v/>
      </c>
      <c r="W24" s="24">
        <f>R24*D24</f>
        <v/>
      </c>
      <c r="X24" s="19">
        <f>IF(M24&gt;0,K24/M24,0)</f>
        <v/>
      </c>
      <c r="Y24" s="21">
        <f>Q24*(NORMDIST(O24,0,1,FALSE)-O24*(1-NORMSDIST(O24)))</f>
        <v/>
      </c>
      <c r="Z24" s="20">
        <f>IF(U24&gt;0,"Order",IF(T24&gt;1.3*S24,"Overstocked","Hold"))</f>
        <v/>
      </c>
      <c r="AA24" s="24">
        <f>W24*HoldRate</f>
        <v/>
      </c>
    </row>
    <row r="25">
      <c r="A25" s="9" t="inlineStr">
        <is>
          <t>SKU-021</t>
        </is>
      </c>
      <c r="B25" s="9" t="inlineStr">
        <is>
          <t>Beverages</t>
        </is>
      </c>
      <c r="C25" s="9" t="inlineStr">
        <is>
          <t>B</t>
        </is>
      </c>
      <c r="D25" s="16" t="n">
        <v>8.81</v>
      </c>
      <c r="E25" s="9" t="n">
        <v>4</v>
      </c>
      <c r="F25" s="9" t="n">
        <v>24</v>
      </c>
      <c r="G25" s="9" t="n">
        <v>96</v>
      </c>
      <c r="H25" s="17" t="n">
        <v>35.74</v>
      </c>
      <c r="I25" s="17" t="n">
        <v>62.4</v>
      </c>
      <c r="J25" s="17" t="n">
        <v>2.4</v>
      </c>
      <c r="K25" s="18" t="n">
        <v>202</v>
      </c>
      <c r="L25" s="18" t="n">
        <v>137.6</v>
      </c>
      <c r="M25" s="19">
        <f>H25*(1+Uplift)</f>
        <v/>
      </c>
      <c r="N25" s="20">
        <f>E25+LTDelay</f>
        <v/>
      </c>
      <c r="O25" s="21">
        <f>IF(Mode="Global",NORMSINV(GlobalSL),J25)</f>
        <v/>
      </c>
      <c r="P25" s="22">
        <f>M25*(N25+1)</f>
        <v/>
      </c>
      <c r="Q25" s="19">
        <f>I25*(1+Uplift)*SQRT((N25+1)/(E25+1))</f>
        <v/>
      </c>
      <c r="R25" s="22">
        <f>O25*Q25</f>
        <v/>
      </c>
      <c r="S25" s="22">
        <f>P25+R25</f>
        <v/>
      </c>
      <c r="T25" s="22">
        <f>K25+L25</f>
        <v/>
      </c>
      <c r="U25" s="23">
        <f>IF(S25-T25&lt;=0,0,MAX(G25,CEILING(S25-T25,F25)))</f>
        <v/>
      </c>
      <c r="V25" s="24">
        <f>U25*D25</f>
        <v/>
      </c>
      <c r="W25" s="24">
        <f>R25*D25</f>
        <v/>
      </c>
      <c r="X25" s="19">
        <f>IF(M25&gt;0,K25/M25,0)</f>
        <v/>
      </c>
      <c r="Y25" s="21">
        <f>Q25*(NORMDIST(O25,0,1,FALSE)-O25*(1-NORMSDIST(O25)))</f>
        <v/>
      </c>
      <c r="Z25" s="20">
        <f>IF(U25&gt;0,"Order",IF(T25&gt;1.3*S25,"Overstocked","Hold"))</f>
        <v/>
      </c>
      <c r="AA25" s="24">
        <f>W25*HoldRate</f>
        <v/>
      </c>
    </row>
    <row r="26">
      <c r="A26" s="9" t="inlineStr">
        <is>
          <t>SKU-022</t>
        </is>
      </c>
      <c r="B26" s="9" t="inlineStr">
        <is>
          <t>Beverages</t>
        </is>
      </c>
      <c r="C26" s="9" t="inlineStr">
        <is>
          <t>B</t>
        </is>
      </c>
      <c r="D26" s="16" t="n">
        <v>5.32</v>
      </c>
      <c r="E26" s="9" t="n">
        <v>2</v>
      </c>
      <c r="F26" s="9" t="n">
        <v>12</v>
      </c>
      <c r="G26" s="9" t="n">
        <v>48</v>
      </c>
      <c r="H26" s="17" t="n">
        <v>45.93</v>
      </c>
      <c r="I26" s="17" t="n">
        <v>128.1</v>
      </c>
      <c r="J26" s="17" t="n">
        <v>2.4</v>
      </c>
      <c r="K26" s="18" t="n">
        <v>322.8</v>
      </c>
      <c r="L26" s="18" t="n">
        <v>115.7</v>
      </c>
      <c r="M26" s="19">
        <f>H26*(1+Uplift)</f>
        <v/>
      </c>
      <c r="N26" s="20">
        <f>E26+LTDelay</f>
        <v/>
      </c>
      <c r="O26" s="21">
        <f>IF(Mode="Global",NORMSINV(GlobalSL),J26)</f>
        <v/>
      </c>
      <c r="P26" s="22">
        <f>M26*(N26+1)</f>
        <v/>
      </c>
      <c r="Q26" s="19">
        <f>I26*(1+Uplift)*SQRT((N26+1)/(E26+1))</f>
        <v/>
      </c>
      <c r="R26" s="22">
        <f>O26*Q26</f>
        <v/>
      </c>
      <c r="S26" s="22">
        <f>P26+R26</f>
        <v/>
      </c>
      <c r="T26" s="22">
        <f>K26+L26</f>
        <v/>
      </c>
      <c r="U26" s="23">
        <f>IF(S26-T26&lt;=0,0,MAX(G26,CEILING(S26-T26,F26)))</f>
        <v/>
      </c>
      <c r="V26" s="24">
        <f>U26*D26</f>
        <v/>
      </c>
      <c r="W26" s="24">
        <f>R26*D26</f>
        <v/>
      </c>
      <c r="X26" s="19">
        <f>IF(M26&gt;0,K26/M26,0)</f>
        <v/>
      </c>
      <c r="Y26" s="21">
        <f>Q26*(NORMDIST(O26,0,1,FALSE)-O26*(1-NORMSDIST(O26)))</f>
        <v/>
      </c>
      <c r="Z26" s="20">
        <f>IF(U26&gt;0,"Order",IF(T26&gt;1.3*S26,"Overstocked","Hold"))</f>
        <v/>
      </c>
      <c r="AA26" s="24">
        <f>W26*HoldRate</f>
        <v/>
      </c>
    </row>
    <row r="27">
      <c r="A27" s="9" t="inlineStr">
        <is>
          <t>SKU-023</t>
        </is>
      </c>
      <c r="B27" s="9" t="inlineStr">
        <is>
          <t>Beverages</t>
        </is>
      </c>
      <c r="C27" s="9" t="inlineStr">
        <is>
          <t>A</t>
        </is>
      </c>
      <c r="D27" s="16" t="n">
        <v>17.9</v>
      </c>
      <c r="E27" s="9" t="n">
        <v>4</v>
      </c>
      <c r="F27" s="9" t="n">
        <v>12</v>
      </c>
      <c r="G27" s="9" t="n">
        <v>48</v>
      </c>
      <c r="H27" s="17" t="n">
        <v>133.24</v>
      </c>
      <c r="I27" s="17" t="n">
        <v>206.6</v>
      </c>
      <c r="J27" s="17" t="n">
        <v>2.4</v>
      </c>
      <c r="K27" s="18" t="n">
        <v>645.9</v>
      </c>
      <c r="L27" s="18" t="n">
        <v>467.8</v>
      </c>
      <c r="M27" s="19">
        <f>H27*(1+Uplift)</f>
        <v/>
      </c>
      <c r="N27" s="20">
        <f>E27+LTDelay</f>
        <v/>
      </c>
      <c r="O27" s="21">
        <f>IF(Mode="Global",NORMSINV(GlobalSL),J27)</f>
        <v/>
      </c>
      <c r="P27" s="22">
        <f>M27*(N27+1)</f>
        <v/>
      </c>
      <c r="Q27" s="19">
        <f>I27*(1+Uplift)*SQRT((N27+1)/(E27+1))</f>
        <v/>
      </c>
      <c r="R27" s="22">
        <f>O27*Q27</f>
        <v/>
      </c>
      <c r="S27" s="22">
        <f>P27+R27</f>
        <v/>
      </c>
      <c r="T27" s="22">
        <f>K27+L27</f>
        <v/>
      </c>
      <c r="U27" s="23">
        <f>IF(S27-T27&lt;=0,0,MAX(G27,CEILING(S27-T27,F27)))</f>
        <v/>
      </c>
      <c r="V27" s="24">
        <f>U27*D27</f>
        <v/>
      </c>
      <c r="W27" s="24">
        <f>R27*D27</f>
        <v/>
      </c>
      <c r="X27" s="19">
        <f>IF(M27&gt;0,K27/M27,0)</f>
        <v/>
      </c>
      <c r="Y27" s="21">
        <f>Q27*(NORMDIST(O27,0,1,FALSE)-O27*(1-NORMSDIST(O27)))</f>
        <v/>
      </c>
      <c r="Z27" s="20">
        <f>IF(U27&gt;0,"Order",IF(T27&gt;1.3*S27,"Overstocked","Hold"))</f>
        <v/>
      </c>
      <c r="AA27" s="24">
        <f>W27*HoldRate</f>
        <v/>
      </c>
    </row>
    <row r="28">
      <c r="A28" s="9" t="inlineStr">
        <is>
          <t>SKU-024</t>
        </is>
      </c>
      <c r="B28" s="9" t="inlineStr">
        <is>
          <t>Pet</t>
        </is>
      </c>
      <c r="C28" s="9" t="inlineStr">
        <is>
          <t>A</t>
        </is>
      </c>
      <c r="D28" s="16" t="n">
        <v>10.41</v>
      </c>
      <c r="E28" s="9" t="n">
        <v>3</v>
      </c>
      <c r="F28" s="9" t="n">
        <v>24</v>
      </c>
      <c r="G28" s="9" t="n">
        <v>48</v>
      </c>
      <c r="H28" s="17" t="n">
        <v>174.15</v>
      </c>
      <c r="I28" s="17" t="n">
        <v>143.2</v>
      </c>
      <c r="J28" s="17" t="n">
        <v>2.5</v>
      </c>
      <c r="K28" s="18" t="n">
        <v>412.9</v>
      </c>
      <c r="L28" s="18" t="n">
        <v>611</v>
      </c>
      <c r="M28" s="19">
        <f>H28*(1+Uplift)</f>
        <v/>
      </c>
      <c r="N28" s="20">
        <f>E28+LTDelay</f>
        <v/>
      </c>
      <c r="O28" s="21">
        <f>IF(Mode="Global",NORMSINV(GlobalSL),J28)</f>
        <v/>
      </c>
      <c r="P28" s="22">
        <f>M28*(N28+1)</f>
        <v/>
      </c>
      <c r="Q28" s="19">
        <f>I28*(1+Uplift)*SQRT((N28+1)/(E28+1))</f>
        <v/>
      </c>
      <c r="R28" s="22">
        <f>O28*Q28</f>
        <v/>
      </c>
      <c r="S28" s="22">
        <f>P28+R28</f>
        <v/>
      </c>
      <c r="T28" s="22">
        <f>K28+L28</f>
        <v/>
      </c>
      <c r="U28" s="23">
        <f>IF(S28-T28&lt;=0,0,MAX(G28,CEILING(S28-T28,F28)))</f>
        <v/>
      </c>
      <c r="V28" s="24">
        <f>U28*D28</f>
        <v/>
      </c>
      <c r="W28" s="24">
        <f>R28*D28</f>
        <v/>
      </c>
      <c r="X28" s="19">
        <f>IF(M28&gt;0,K28/M28,0)</f>
        <v/>
      </c>
      <c r="Y28" s="21">
        <f>Q28*(NORMDIST(O28,0,1,FALSE)-O28*(1-NORMSDIST(O28)))</f>
        <v/>
      </c>
      <c r="Z28" s="20">
        <f>IF(U28&gt;0,"Order",IF(T28&gt;1.3*S28,"Overstocked","Hold"))</f>
        <v/>
      </c>
      <c r="AA28" s="24">
        <f>W28*HoldRate</f>
        <v/>
      </c>
    </row>
    <row r="29">
      <c r="A29" s="9" t="inlineStr">
        <is>
          <t>SKU-025</t>
        </is>
      </c>
      <c r="B29" s="9" t="inlineStr">
        <is>
          <t>Household</t>
        </is>
      </c>
      <c r="C29" s="9" t="inlineStr">
        <is>
          <t>A</t>
        </is>
      </c>
      <c r="D29" s="16" t="n">
        <v>25.24</v>
      </c>
      <c r="E29" s="9" t="n">
        <v>4</v>
      </c>
      <c r="F29" s="9" t="n">
        <v>12</v>
      </c>
      <c r="G29" s="9" t="n">
        <v>24</v>
      </c>
      <c r="H29" s="17" t="n">
        <v>149.76</v>
      </c>
      <c r="I29" s="17" t="n">
        <v>125.6</v>
      </c>
      <c r="J29" s="17" t="n">
        <v>2.6</v>
      </c>
      <c r="K29" s="18" t="n">
        <v>97</v>
      </c>
      <c r="L29" s="18" t="n">
        <v>1231.2</v>
      </c>
      <c r="M29" s="19">
        <f>H29*(1+Uplift)</f>
        <v/>
      </c>
      <c r="N29" s="20">
        <f>E29+LTDelay</f>
        <v/>
      </c>
      <c r="O29" s="21">
        <f>IF(Mode="Global",NORMSINV(GlobalSL),J29)</f>
        <v/>
      </c>
      <c r="P29" s="22">
        <f>M29*(N29+1)</f>
        <v/>
      </c>
      <c r="Q29" s="19">
        <f>I29*(1+Uplift)*SQRT((N29+1)/(E29+1))</f>
        <v/>
      </c>
      <c r="R29" s="22">
        <f>O29*Q29</f>
        <v/>
      </c>
      <c r="S29" s="22">
        <f>P29+R29</f>
        <v/>
      </c>
      <c r="T29" s="22">
        <f>K29+L29</f>
        <v/>
      </c>
      <c r="U29" s="23">
        <f>IF(S29-T29&lt;=0,0,MAX(G29,CEILING(S29-T29,F29)))</f>
        <v/>
      </c>
      <c r="V29" s="24">
        <f>U29*D29</f>
        <v/>
      </c>
      <c r="W29" s="24">
        <f>R29*D29</f>
        <v/>
      </c>
      <c r="X29" s="19">
        <f>IF(M29&gt;0,K29/M29,0)</f>
        <v/>
      </c>
      <c r="Y29" s="21">
        <f>Q29*(NORMDIST(O29,0,1,FALSE)-O29*(1-NORMSDIST(O29)))</f>
        <v/>
      </c>
      <c r="Z29" s="20">
        <f>IF(U29&gt;0,"Order",IF(T29&gt;1.3*S29,"Overstocked","Hold"))</f>
        <v/>
      </c>
      <c r="AA29" s="24">
        <f>W29*HoldRate</f>
        <v/>
      </c>
    </row>
    <row r="30">
      <c r="A30" s="9" t="inlineStr">
        <is>
          <t>SKU-026</t>
        </is>
      </c>
      <c r="B30" s="9" t="inlineStr">
        <is>
          <t>Personal Care</t>
        </is>
      </c>
      <c r="C30" s="9" t="inlineStr">
        <is>
          <t>A</t>
        </is>
      </c>
      <c r="D30" s="16" t="n">
        <v>8.56</v>
      </c>
      <c r="E30" s="9" t="n">
        <v>3</v>
      </c>
      <c r="F30" s="9" t="n">
        <v>6</v>
      </c>
      <c r="G30" s="9" t="n">
        <v>6</v>
      </c>
      <c r="H30" s="17" t="n">
        <v>92.65000000000001</v>
      </c>
      <c r="I30" s="17" t="n">
        <v>67.8</v>
      </c>
      <c r="J30" s="17" t="n">
        <v>2.4</v>
      </c>
      <c r="K30" s="18" t="n">
        <v>106</v>
      </c>
      <c r="L30" s="18" t="n">
        <v>391.6</v>
      </c>
      <c r="M30" s="19">
        <f>H30*(1+Uplift)</f>
        <v/>
      </c>
      <c r="N30" s="20">
        <f>E30+LTDelay</f>
        <v/>
      </c>
      <c r="O30" s="21">
        <f>IF(Mode="Global",NORMSINV(GlobalSL),J30)</f>
        <v/>
      </c>
      <c r="P30" s="22">
        <f>M30*(N30+1)</f>
        <v/>
      </c>
      <c r="Q30" s="19">
        <f>I30*(1+Uplift)*SQRT((N30+1)/(E30+1))</f>
        <v/>
      </c>
      <c r="R30" s="22">
        <f>O30*Q30</f>
        <v/>
      </c>
      <c r="S30" s="22">
        <f>P30+R30</f>
        <v/>
      </c>
      <c r="T30" s="22">
        <f>K30+L30</f>
        <v/>
      </c>
      <c r="U30" s="23">
        <f>IF(S30-T30&lt;=0,0,MAX(G30,CEILING(S30-T30,F30)))</f>
        <v/>
      </c>
      <c r="V30" s="24">
        <f>U30*D30</f>
        <v/>
      </c>
      <c r="W30" s="24">
        <f>R30*D30</f>
        <v/>
      </c>
      <c r="X30" s="19">
        <f>IF(M30&gt;0,K30/M30,0)</f>
        <v/>
      </c>
      <c r="Y30" s="21">
        <f>Q30*(NORMDIST(O30,0,1,FALSE)-O30*(1-NORMSDIST(O30)))</f>
        <v/>
      </c>
      <c r="Z30" s="20">
        <f>IF(U30&gt;0,"Order",IF(T30&gt;1.3*S30,"Overstocked","Hold"))</f>
        <v/>
      </c>
      <c r="AA30" s="24">
        <f>W30*HoldRate</f>
        <v/>
      </c>
    </row>
    <row r="31">
      <c r="A31" s="9" t="inlineStr">
        <is>
          <t>SKU-027</t>
        </is>
      </c>
      <c r="B31" s="9" t="inlineStr">
        <is>
          <t>Household</t>
        </is>
      </c>
      <c r="C31" s="9" t="inlineStr">
        <is>
          <t>C</t>
        </is>
      </c>
      <c r="D31" s="16" t="n">
        <v>2.77</v>
      </c>
      <c r="E31" s="9" t="n">
        <v>3</v>
      </c>
      <c r="F31" s="9" t="n">
        <v>6</v>
      </c>
      <c r="G31" s="9" t="n">
        <v>12</v>
      </c>
      <c r="H31" s="17" t="n">
        <v>29.2</v>
      </c>
      <c r="I31" s="17" t="n">
        <v>22.6</v>
      </c>
      <c r="J31" s="17" t="n">
        <v>2.3</v>
      </c>
      <c r="K31" s="18" t="n">
        <v>52.3</v>
      </c>
      <c r="L31" s="18" t="n">
        <v>98.09999999999999</v>
      </c>
      <c r="M31" s="19">
        <f>H31*(1+Uplift)</f>
        <v/>
      </c>
      <c r="N31" s="20">
        <f>E31+LTDelay</f>
        <v/>
      </c>
      <c r="O31" s="21">
        <f>IF(Mode="Global",NORMSINV(GlobalSL),J31)</f>
        <v/>
      </c>
      <c r="P31" s="22">
        <f>M31*(N31+1)</f>
        <v/>
      </c>
      <c r="Q31" s="19">
        <f>I31*(1+Uplift)*SQRT((N31+1)/(E31+1))</f>
        <v/>
      </c>
      <c r="R31" s="22">
        <f>O31*Q31</f>
        <v/>
      </c>
      <c r="S31" s="22">
        <f>P31+R31</f>
        <v/>
      </c>
      <c r="T31" s="22">
        <f>K31+L31</f>
        <v/>
      </c>
      <c r="U31" s="23">
        <f>IF(S31-T31&lt;=0,0,MAX(G31,CEILING(S31-T31,F31)))</f>
        <v/>
      </c>
      <c r="V31" s="24">
        <f>U31*D31</f>
        <v/>
      </c>
      <c r="W31" s="24">
        <f>R31*D31</f>
        <v/>
      </c>
      <c r="X31" s="19">
        <f>IF(M31&gt;0,K31/M31,0)</f>
        <v/>
      </c>
      <c r="Y31" s="21">
        <f>Q31*(NORMDIST(O31,0,1,FALSE)-O31*(1-NORMSDIST(O31)))</f>
        <v/>
      </c>
      <c r="Z31" s="20">
        <f>IF(U31&gt;0,"Order",IF(T31&gt;1.3*S31,"Overstocked","Hold"))</f>
        <v/>
      </c>
      <c r="AA31" s="24">
        <f>W31*HoldRate</f>
        <v/>
      </c>
    </row>
    <row r="32">
      <c r="A32" s="9" t="inlineStr">
        <is>
          <t>SKU-028</t>
        </is>
      </c>
      <c r="B32" s="9" t="inlineStr">
        <is>
          <t>Seasonal</t>
        </is>
      </c>
      <c r="C32" s="9" t="inlineStr">
        <is>
          <t>B</t>
        </is>
      </c>
      <c r="D32" s="16" t="n">
        <v>2.47</v>
      </c>
      <c r="E32" s="9" t="n">
        <v>3</v>
      </c>
      <c r="F32" s="9" t="n">
        <v>6</v>
      </c>
      <c r="G32" s="9" t="n">
        <v>6</v>
      </c>
      <c r="H32" s="17" t="n">
        <v>189.22</v>
      </c>
      <c r="I32" s="17" t="n">
        <v>119</v>
      </c>
      <c r="J32" s="17" t="n">
        <v>2.3</v>
      </c>
      <c r="K32" s="18" t="n">
        <v>153.3</v>
      </c>
      <c r="L32" s="18" t="n">
        <v>960.9</v>
      </c>
      <c r="M32" s="19">
        <f>H32*(1+Uplift)</f>
        <v/>
      </c>
      <c r="N32" s="20">
        <f>E32+LTDelay</f>
        <v/>
      </c>
      <c r="O32" s="21">
        <f>IF(Mode="Global",NORMSINV(GlobalSL),J32)</f>
        <v/>
      </c>
      <c r="P32" s="22">
        <f>M32*(N32+1)</f>
        <v/>
      </c>
      <c r="Q32" s="19">
        <f>I32*(1+Uplift)*SQRT((N32+1)/(E32+1))</f>
        <v/>
      </c>
      <c r="R32" s="22">
        <f>O32*Q32</f>
        <v/>
      </c>
      <c r="S32" s="22">
        <f>P32+R32</f>
        <v/>
      </c>
      <c r="T32" s="22">
        <f>K32+L32</f>
        <v/>
      </c>
      <c r="U32" s="23">
        <f>IF(S32-T32&lt;=0,0,MAX(G32,CEILING(S32-T32,F32)))</f>
        <v/>
      </c>
      <c r="V32" s="24">
        <f>U32*D32</f>
        <v/>
      </c>
      <c r="W32" s="24">
        <f>R32*D32</f>
        <v/>
      </c>
      <c r="X32" s="19">
        <f>IF(M32&gt;0,K32/M32,0)</f>
        <v/>
      </c>
      <c r="Y32" s="21">
        <f>Q32*(NORMDIST(O32,0,1,FALSE)-O32*(1-NORMSDIST(O32)))</f>
        <v/>
      </c>
      <c r="Z32" s="20">
        <f>IF(U32&gt;0,"Order",IF(T32&gt;1.3*S32,"Overstocked","Hold"))</f>
        <v/>
      </c>
      <c r="AA32" s="24">
        <f>W32*HoldRate</f>
        <v/>
      </c>
    </row>
    <row r="33">
      <c r="A33" s="9" t="inlineStr">
        <is>
          <t>SKU-029</t>
        </is>
      </c>
      <c r="B33" s="9" t="inlineStr">
        <is>
          <t>Pet</t>
        </is>
      </c>
      <c r="C33" s="9" t="inlineStr">
        <is>
          <t>A</t>
        </is>
      </c>
      <c r="D33" s="16" t="n">
        <v>27.68</v>
      </c>
      <c r="E33" s="9" t="n">
        <v>4</v>
      </c>
      <c r="F33" s="9" t="n">
        <v>24</v>
      </c>
      <c r="G33" s="9" t="n">
        <v>96</v>
      </c>
      <c r="H33" s="17" t="n">
        <v>40.82</v>
      </c>
      <c r="I33" s="17" t="n">
        <v>40.8</v>
      </c>
      <c r="J33" s="17" t="n">
        <v>2.5</v>
      </c>
      <c r="K33" s="18" t="n">
        <v>146.4</v>
      </c>
      <c r="L33" s="18" t="n">
        <v>189.3</v>
      </c>
      <c r="M33" s="19">
        <f>H33*(1+Uplift)</f>
        <v/>
      </c>
      <c r="N33" s="20">
        <f>E33+LTDelay</f>
        <v/>
      </c>
      <c r="O33" s="21">
        <f>IF(Mode="Global",NORMSINV(GlobalSL),J33)</f>
        <v/>
      </c>
      <c r="P33" s="22">
        <f>M33*(N33+1)</f>
        <v/>
      </c>
      <c r="Q33" s="19">
        <f>I33*(1+Uplift)*SQRT((N33+1)/(E33+1))</f>
        <v/>
      </c>
      <c r="R33" s="22">
        <f>O33*Q33</f>
        <v/>
      </c>
      <c r="S33" s="22">
        <f>P33+R33</f>
        <v/>
      </c>
      <c r="T33" s="22">
        <f>K33+L33</f>
        <v/>
      </c>
      <c r="U33" s="23">
        <f>IF(S33-T33&lt;=0,0,MAX(G33,CEILING(S33-T33,F33)))</f>
        <v/>
      </c>
      <c r="V33" s="24">
        <f>U33*D33</f>
        <v/>
      </c>
      <c r="W33" s="24">
        <f>R33*D33</f>
        <v/>
      </c>
      <c r="X33" s="19">
        <f>IF(M33&gt;0,K33/M33,0)</f>
        <v/>
      </c>
      <c r="Y33" s="21">
        <f>Q33*(NORMDIST(O33,0,1,FALSE)-O33*(1-NORMSDIST(O33)))</f>
        <v/>
      </c>
      <c r="Z33" s="20">
        <f>IF(U33&gt;0,"Order",IF(T33&gt;1.3*S33,"Overstocked","Hold"))</f>
        <v/>
      </c>
      <c r="AA33" s="24">
        <f>W33*HoldRate</f>
        <v/>
      </c>
    </row>
    <row r="34">
      <c r="A34" s="9" t="inlineStr">
        <is>
          <t>SKU-030</t>
        </is>
      </c>
      <c r="B34" s="9" t="inlineStr">
        <is>
          <t>Personal Care</t>
        </is>
      </c>
      <c r="C34" s="9" t="inlineStr">
        <is>
          <t>A</t>
        </is>
      </c>
      <c r="D34" s="16" t="n">
        <v>29.34</v>
      </c>
      <c r="E34" s="9" t="n">
        <v>3</v>
      </c>
      <c r="F34" s="9" t="n">
        <v>6</v>
      </c>
      <c r="G34" s="9" t="n">
        <v>24</v>
      </c>
      <c r="H34" s="17" t="n">
        <v>21.85</v>
      </c>
      <c r="I34" s="17" t="n">
        <v>21.1</v>
      </c>
      <c r="J34" s="17" t="n">
        <v>2.5</v>
      </c>
      <c r="K34" s="18" t="n">
        <v>77.7</v>
      </c>
      <c r="L34" s="18" t="n">
        <v>54.4</v>
      </c>
      <c r="M34" s="19">
        <f>H34*(1+Uplift)</f>
        <v/>
      </c>
      <c r="N34" s="20">
        <f>E34+LTDelay</f>
        <v/>
      </c>
      <c r="O34" s="21">
        <f>IF(Mode="Global",NORMSINV(GlobalSL),J34)</f>
        <v/>
      </c>
      <c r="P34" s="22">
        <f>M34*(N34+1)</f>
        <v/>
      </c>
      <c r="Q34" s="19">
        <f>I34*(1+Uplift)*SQRT((N34+1)/(E34+1))</f>
        <v/>
      </c>
      <c r="R34" s="22">
        <f>O34*Q34</f>
        <v/>
      </c>
      <c r="S34" s="22">
        <f>P34+R34</f>
        <v/>
      </c>
      <c r="T34" s="22">
        <f>K34+L34</f>
        <v/>
      </c>
      <c r="U34" s="23">
        <f>IF(S34-T34&lt;=0,0,MAX(G34,CEILING(S34-T34,F34)))</f>
        <v/>
      </c>
      <c r="V34" s="24">
        <f>U34*D34</f>
        <v/>
      </c>
      <c r="W34" s="24">
        <f>R34*D34</f>
        <v/>
      </c>
      <c r="X34" s="19">
        <f>IF(M34&gt;0,K34/M34,0)</f>
        <v/>
      </c>
      <c r="Y34" s="21">
        <f>Q34*(NORMDIST(O34,0,1,FALSE)-O34*(1-NORMSDIST(O34)))</f>
        <v/>
      </c>
      <c r="Z34" s="20">
        <f>IF(U34&gt;0,"Order",IF(T34&gt;1.3*S34,"Overstocked","Hold"))</f>
        <v/>
      </c>
      <c r="AA34" s="24">
        <f>W34*HoldRate</f>
        <v/>
      </c>
    </row>
    <row r="35">
      <c r="A35" s="9" t="inlineStr">
        <is>
          <t>SKU-031</t>
        </is>
      </c>
      <c r="B35" s="9" t="inlineStr">
        <is>
          <t>Household</t>
        </is>
      </c>
      <c r="C35" s="9" t="inlineStr">
        <is>
          <t>C</t>
        </is>
      </c>
      <c r="D35" s="16" t="n">
        <v>6.4</v>
      </c>
      <c r="E35" s="9" t="n">
        <v>1</v>
      </c>
      <c r="F35" s="9" t="n">
        <v>6</v>
      </c>
      <c r="G35" s="9" t="n">
        <v>6</v>
      </c>
      <c r="H35" s="17" t="n">
        <v>16.1</v>
      </c>
      <c r="I35" s="17" t="n">
        <v>10.4</v>
      </c>
      <c r="J35" s="17" t="n">
        <v>2.2</v>
      </c>
      <c r="K35" s="18" t="n">
        <v>26.8</v>
      </c>
      <c r="L35" s="18" t="n">
        <v>14.3</v>
      </c>
      <c r="M35" s="19">
        <f>H35*(1+Uplift)</f>
        <v/>
      </c>
      <c r="N35" s="20">
        <f>E35+LTDelay</f>
        <v/>
      </c>
      <c r="O35" s="21">
        <f>IF(Mode="Global",NORMSINV(GlobalSL),J35)</f>
        <v/>
      </c>
      <c r="P35" s="22">
        <f>M35*(N35+1)</f>
        <v/>
      </c>
      <c r="Q35" s="19">
        <f>I35*(1+Uplift)*SQRT((N35+1)/(E35+1))</f>
        <v/>
      </c>
      <c r="R35" s="22">
        <f>O35*Q35</f>
        <v/>
      </c>
      <c r="S35" s="22">
        <f>P35+R35</f>
        <v/>
      </c>
      <c r="T35" s="22">
        <f>K35+L35</f>
        <v/>
      </c>
      <c r="U35" s="23">
        <f>IF(S35-T35&lt;=0,0,MAX(G35,CEILING(S35-T35,F35)))</f>
        <v/>
      </c>
      <c r="V35" s="24">
        <f>U35*D35</f>
        <v/>
      </c>
      <c r="W35" s="24">
        <f>R35*D35</f>
        <v/>
      </c>
      <c r="X35" s="19">
        <f>IF(M35&gt;0,K35/M35,0)</f>
        <v/>
      </c>
      <c r="Y35" s="21">
        <f>Q35*(NORMDIST(O35,0,1,FALSE)-O35*(1-NORMSDIST(O35)))</f>
        <v/>
      </c>
      <c r="Z35" s="20">
        <f>IF(U35&gt;0,"Order",IF(T35&gt;1.3*S35,"Overstocked","Hold"))</f>
        <v/>
      </c>
      <c r="AA35" s="24">
        <f>W35*HoldRate</f>
        <v/>
      </c>
    </row>
    <row r="36">
      <c r="A36" s="9" t="inlineStr">
        <is>
          <t>SKU-032</t>
        </is>
      </c>
      <c r="B36" s="9" t="inlineStr">
        <is>
          <t>Personal Care</t>
        </is>
      </c>
      <c r="C36" s="9" t="inlineStr">
        <is>
          <t>C</t>
        </is>
      </c>
      <c r="D36" s="16" t="n">
        <v>5.44</v>
      </c>
      <c r="E36" s="9" t="n">
        <v>4</v>
      </c>
      <c r="F36" s="9" t="n">
        <v>12</v>
      </c>
      <c r="G36" s="9" t="n">
        <v>48</v>
      </c>
      <c r="H36" s="17" t="n">
        <v>45.52</v>
      </c>
      <c r="I36" s="17" t="n">
        <v>30</v>
      </c>
      <c r="J36" s="17" t="n">
        <v>2.1</v>
      </c>
      <c r="K36" s="18" t="n">
        <v>42.7</v>
      </c>
      <c r="L36" s="18" t="n">
        <v>232.4</v>
      </c>
      <c r="M36" s="19">
        <f>H36*(1+Uplift)</f>
        <v/>
      </c>
      <c r="N36" s="20">
        <f>E36+LTDelay</f>
        <v/>
      </c>
      <c r="O36" s="21">
        <f>IF(Mode="Global",NORMSINV(GlobalSL),J36)</f>
        <v/>
      </c>
      <c r="P36" s="22">
        <f>M36*(N36+1)</f>
        <v/>
      </c>
      <c r="Q36" s="19">
        <f>I36*(1+Uplift)*SQRT((N36+1)/(E36+1))</f>
        <v/>
      </c>
      <c r="R36" s="22">
        <f>O36*Q36</f>
        <v/>
      </c>
      <c r="S36" s="22">
        <f>P36+R36</f>
        <v/>
      </c>
      <c r="T36" s="22">
        <f>K36+L36</f>
        <v/>
      </c>
      <c r="U36" s="23">
        <f>IF(S36-T36&lt;=0,0,MAX(G36,CEILING(S36-T36,F36)))</f>
        <v/>
      </c>
      <c r="V36" s="24">
        <f>U36*D36</f>
        <v/>
      </c>
      <c r="W36" s="24">
        <f>R36*D36</f>
        <v/>
      </c>
      <c r="X36" s="19">
        <f>IF(M36&gt;0,K36/M36,0)</f>
        <v/>
      </c>
      <c r="Y36" s="21">
        <f>Q36*(NORMDIST(O36,0,1,FALSE)-O36*(1-NORMSDIST(O36)))</f>
        <v/>
      </c>
      <c r="Z36" s="20">
        <f>IF(U36&gt;0,"Order",IF(T36&gt;1.3*S36,"Overstocked","Hold"))</f>
        <v/>
      </c>
      <c r="AA36" s="24">
        <f>W36*HoldRate</f>
        <v/>
      </c>
    </row>
    <row r="37">
      <c r="A37" s="9" t="inlineStr">
        <is>
          <t>SKU-033</t>
        </is>
      </c>
      <c r="B37" s="9" t="inlineStr">
        <is>
          <t>Pet</t>
        </is>
      </c>
      <c r="C37" s="9" t="inlineStr">
        <is>
          <t>A</t>
        </is>
      </c>
      <c r="D37" s="16" t="n">
        <v>23.79</v>
      </c>
      <c r="E37" s="9" t="n">
        <v>3</v>
      </c>
      <c r="F37" s="9" t="n">
        <v>24</v>
      </c>
      <c r="G37" s="9" t="n">
        <v>24</v>
      </c>
      <c r="H37" s="17" t="n">
        <v>113.33</v>
      </c>
      <c r="I37" s="17" t="n">
        <v>81.90000000000001</v>
      </c>
      <c r="J37" s="17" t="n">
        <v>2.5</v>
      </c>
      <c r="K37" s="18" t="n">
        <v>634.1</v>
      </c>
      <c r="L37" s="18" t="n">
        <v>4.6</v>
      </c>
      <c r="M37" s="19">
        <f>H37*(1+Uplift)</f>
        <v/>
      </c>
      <c r="N37" s="20">
        <f>E37+LTDelay</f>
        <v/>
      </c>
      <c r="O37" s="21">
        <f>IF(Mode="Global",NORMSINV(GlobalSL),J37)</f>
        <v/>
      </c>
      <c r="P37" s="22">
        <f>M37*(N37+1)</f>
        <v/>
      </c>
      <c r="Q37" s="19">
        <f>I37*(1+Uplift)*SQRT((N37+1)/(E37+1))</f>
        <v/>
      </c>
      <c r="R37" s="22">
        <f>O37*Q37</f>
        <v/>
      </c>
      <c r="S37" s="22">
        <f>P37+R37</f>
        <v/>
      </c>
      <c r="T37" s="22">
        <f>K37+L37</f>
        <v/>
      </c>
      <c r="U37" s="23">
        <f>IF(S37-T37&lt;=0,0,MAX(G37,CEILING(S37-T37,F37)))</f>
        <v/>
      </c>
      <c r="V37" s="24">
        <f>U37*D37</f>
        <v/>
      </c>
      <c r="W37" s="24">
        <f>R37*D37</f>
        <v/>
      </c>
      <c r="X37" s="19">
        <f>IF(M37&gt;0,K37/M37,0)</f>
        <v/>
      </c>
      <c r="Y37" s="21">
        <f>Q37*(NORMDIST(O37,0,1,FALSE)-O37*(1-NORMSDIST(O37)))</f>
        <v/>
      </c>
      <c r="Z37" s="20">
        <f>IF(U37&gt;0,"Order",IF(T37&gt;1.3*S37,"Overstocked","Hold"))</f>
        <v/>
      </c>
      <c r="AA37" s="24">
        <f>W37*HoldRate</f>
        <v/>
      </c>
    </row>
    <row r="38">
      <c r="A38" s="9" t="inlineStr">
        <is>
          <t>SKU-034</t>
        </is>
      </c>
      <c r="B38" s="9" t="inlineStr">
        <is>
          <t>Personal Care</t>
        </is>
      </c>
      <c r="C38" s="9" t="inlineStr">
        <is>
          <t>C</t>
        </is>
      </c>
      <c r="D38" s="16" t="n">
        <v>3.05</v>
      </c>
      <c r="E38" s="9" t="n">
        <v>2</v>
      </c>
      <c r="F38" s="9" t="n">
        <v>12</v>
      </c>
      <c r="G38" s="9" t="n">
        <v>48</v>
      </c>
      <c r="H38" s="17" t="n">
        <v>53.87</v>
      </c>
      <c r="I38" s="17" t="n">
        <v>41.5</v>
      </c>
      <c r="J38" s="17" t="n">
        <v>2.2</v>
      </c>
      <c r="K38" s="18" t="n">
        <v>110.4</v>
      </c>
      <c r="L38" s="18" t="n">
        <v>122.2</v>
      </c>
      <c r="M38" s="19">
        <f>H38*(1+Uplift)</f>
        <v/>
      </c>
      <c r="N38" s="20">
        <f>E38+LTDelay</f>
        <v/>
      </c>
      <c r="O38" s="21">
        <f>IF(Mode="Global",NORMSINV(GlobalSL),J38)</f>
        <v/>
      </c>
      <c r="P38" s="22">
        <f>M38*(N38+1)</f>
        <v/>
      </c>
      <c r="Q38" s="19">
        <f>I38*(1+Uplift)*SQRT((N38+1)/(E38+1))</f>
        <v/>
      </c>
      <c r="R38" s="22">
        <f>O38*Q38</f>
        <v/>
      </c>
      <c r="S38" s="22">
        <f>P38+R38</f>
        <v/>
      </c>
      <c r="T38" s="22">
        <f>K38+L38</f>
        <v/>
      </c>
      <c r="U38" s="23">
        <f>IF(S38-T38&lt;=0,0,MAX(G38,CEILING(S38-T38,F38)))</f>
        <v/>
      </c>
      <c r="V38" s="24">
        <f>U38*D38</f>
        <v/>
      </c>
      <c r="W38" s="24">
        <f>R38*D38</f>
        <v/>
      </c>
      <c r="X38" s="19">
        <f>IF(M38&gt;0,K38/M38,0)</f>
        <v/>
      </c>
      <c r="Y38" s="21">
        <f>Q38*(NORMDIST(O38,0,1,FALSE)-O38*(1-NORMSDIST(O38)))</f>
        <v/>
      </c>
      <c r="Z38" s="20">
        <f>IF(U38&gt;0,"Order",IF(T38&gt;1.3*S38,"Overstocked","Hold"))</f>
        <v/>
      </c>
      <c r="AA38" s="24">
        <f>W38*HoldRate</f>
        <v/>
      </c>
    </row>
    <row r="39">
      <c r="A39" s="9" t="inlineStr">
        <is>
          <t>SKU-035</t>
        </is>
      </c>
      <c r="B39" s="9" t="inlineStr">
        <is>
          <t>Pet</t>
        </is>
      </c>
      <c r="C39" s="9" t="inlineStr">
        <is>
          <t>B</t>
        </is>
      </c>
      <c r="D39" s="16" t="n">
        <v>3.61</v>
      </c>
      <c r="E39" s="9" t="n">
        <v>3</v>
      </c>
      <c r="F39" s="9" t="n">
        <v>24</v>
      </c>
      <c r="G39" s="9" t="n">
        <v>24</v>
      </c>
      <c r="H39" s="17" t="n">
        <v>84.75</v>
      </c>
      <c r="I39" s="17" t="n">
        <v>141.9</v>
      </c>
      <c r="J39" s="17" t="n">
        <v>2.5</v>
      </c>
      <c r="K39" s="18" t="n">
        <v>361.3</v>
      </c>
      <c r="L39" s="18" t="n">
        <v>314.3</v>
      </c>
      <c r="M39" s="19">
        <f>H39*(1+Uplift)</f>
        <v/>
      </c>
      <c r="N39" s="20">
        <f>E39+LTDelay</f>
        <v/>
      </c>
      <c r="O39" s="21">
        <f>IF(Mode="Global",NORMSINV(GlobalSL),J39)</f>
        <v/>
      </c>
      <c r="P39" s="22">
        <f>M39*(N39+1)</f>
        <v/>
      </c>
      <c r="Q39" s="19">
        <f>I39*(1+Uplift)*SQRT((N39+1)/(E39+1))</f>
        <v/>
      </c>
      <c r="R39" s="22">
        <f>O39*Q39</f>
        <v/>
      </c>
      <c r="S39" s="22">
        <f>P39+R39</f>
        <v/>
      </c>
      <c r="T39" s="22">
        <f>K39+L39</f>
        <v/>
      </c>
      <c r="U39" s="23">
        <f>IF(S39-T39&lt;=0,0,MAX(G39,CEILING(S39-T39,F39)))</f>
        <v/>
      </c>
      <c r="V39" s="24">
        <f>U39*D39</f>
        <v/>
      </c>
      <c r="W39" s="24">
        <f>R39*D39</f>
        <v/>
      </c>
      <c r="X39" s="19">
        <f>IF(M39&gt;0,K39/M39,0)</f>
        <v/>
      </c>
      <c r="Y39" s="21">
        <f>Q39*(NORMDIST(O39,0,1,FALSE)-O39*(1-NORMSDIST(O39)))</f>
        <v/>
      </c>
      <c r="Z39" s="20">
        <f>IF(U39&gt;0,"Order",IF(T39&gt;1.3*S39,"Overstocked","Hold"))</f>
        <v/>
      </c>
      <c r="AA39" s="24">
        <f>W39*HoldRate</f>
        <v/>
      </c>
    </row>
    <row r="40">
      <c r="A40" s="9" t="inlineStr">
        <is>
          <t>SKU-036</t>
        </is>
      </c>
      <c r="B40" s="9" t="inlineStr">
        <is>
          <t>Beverages</t>
        </is>
      </c>
      <c r="C40" s="9" t="inlineStr">
        <is>
          <t>A</t>
        </is>
      </c>
      <c r="D40" s="16" t="n">
        <v>12.36</v>
      </c>
      <c r="E40" s="9" t="n">
        <v>4</v>
      </c>
      <c r="F40" s="9" t="n">
        <v>24</v>
      </c>
      <c r="G40" s="9" t="n">
        <v>48</v>
      </c>
      <c r="H40" s="17" t="n">
        <v>39.36</v>
      </c>
      <c r="I40" s="17" t="n">
        <v>51.9</v>
      </c>
      <c r="J40" s="17" t="n">
        <v>2.3</v>
      </c>
      <c r="K40" s="18" t="n">
        <v>123.8</v>
      </c>
      <c r="L40" s="18" t="n">
        <v>182.3</v>
      </c>
      <c r="M40" s="19">
        <f>H40*(1+Uplift)</f>
        <v/>
      </c>
      <c r="N40" s="20">
        <f>E40+LTDelay</f>
        <v/>
      </c>
      <c r="O40" s="21">
        <f>IF(Mode="Global",NORMSINV(GlobalSL),J40)</f>
        <v/>
      </c>
      <c r="P40" s="22">
        <f>M40*(N40+1)</f>
        <v/>
      </c>
      <c r="Q40" s="19">
        <f>I40*(1+Uplift)*SQRT((N40+1)/(E40+1))</f>
        <v/>
      </c>
      <c r="R40" s="22">
        <f>O40*Q40</f>
        <v/>
      </c>
      <c r="S40" s="22">
        <f>P40+R40</f>
        <v/>
      </c>
      <c r="T40" s="22">
        <f>K40+L40</f>
        <v/>
      </c>
      <c r="U40" s="23">
        <f>IF(S40-T40&lt;=0,0,MAX(G40,CEILING(S40-T40,F40)))</f>
        <v/>
      </c>
      <c r="V40" s="24">
        <f>U40*D40</f>
        <v/>
      </c>
      <c r="W40" s="24">
        <f>R40*D40</f>
        <v/>
      </c>
      <c r="X40" s="19">
        <f>IF(M40&gt;0,K40/M40,0)</f>
        <v/>
      </c>
      <c r="Y40" s="21">
        <f>Q40*(NORMDIST(O40,0,1,FALSE)-O40*(1-NORMSDIST(O40)))</f>
        <v/>
      </c>
      <c r="Z40" s="20">
        <f>IF(U40&gt;0,"Order",IF(T40&gt;1.3*S40,"Overstocked","Hold"))</f>
        <v/>
      </c>
      <c r="AA40" s="24">
        <f>W40*HoldRate</f>
        <v/>
      </c>
    </row>
    <row r="41">
      <c r="A41" s="9" t="inlineStr">
        <is>
          <t>SKU-037</t>
        </is>
      </c>
      <c r="B41" s="9" t="inlineStr">
        <is>
          <t>Pet</t>
        </is>
      </c>
      <c r="C41" s="9" t="inlineStr">
        <is>
          <t>B</t>
        </is>
      </c>
      <c r="D41" s="16" t="n">
        <v>5.39</v>
      </c>
      <c r="E41" s="9" t="n">
        <v>4</v>
      </c>
      <c r="F41" s="9" t="n">
        <v>6</v>
      </c>
      <c r="G41" s="9" t="n">
        <v>12</v>
      </c>
      <c r="H41" s="17" t="n">
        <v>107.38</v>
      </c>
      <c r="I41" s="17" t="n">
        <v>161.8</v>
      </c>
      <c r="J41" s="17" t="n">
        <v>2.2</v>
      </c>
      <c r="K41" s="18" t="n">
        <v>402.2</v>
      </c>
      <c r="L41" s="18" t="n">
        <v>434.2</v>
      </c>
      <c r="M41" s="19">
        <f>H41*(1+Uplift)</f>
        <v/>
      </c>
      <c r="N41" s="20">
        <f>E41+LTDelay</f>
        <v/>
      </c>
      <c r="O41" s="21">
        <f>IF(Mode="Global",NORMSINV(GlobalSL),J41)</f>
        <v/>
      </c>
      <c r="P41" s="22">
        <f>M41*(N41+1)</f>
        <v/>
      </c>
      <c r="Q41" s="19">
        <f>I41*(1+Uplift)*SQRT((N41+1)/(E41+1))</f>
        <v/>
      </c>
      <c r="R41" s="22">
        <f>O41*Q41</f>
        <v/>
      </c>
      <c r="S41" s="22">
        <f>P41+R41</f>
        <v/>
      </c>
      <c r="T41" s="22">
        <f>K41+L41</f>
        <v/>
      </c>
      <c r="U41" s="23">
        <f>IF(S41-T41&lt;=0,0,MAX(G41,CEILING(S41-T41,F41)))</f>
        <v/>
      </c>
      <c r="V41" s="24">
        <f>U41*D41</f>
        <v/>
      </c>
      <c r="W41" s="24">
        <f>R41*D41</f>
        <v/>
      </c>
      <c r="X41" s="19">
        <f>IF(M41&gt;0,K41/M41,0)</f>
        <v/>
      </c>
      <c r="Y41" s="21">
        <f>Q41*(NORMDIST(O41,0,1,FALSE)-O41*(1-NORMSDIST(O41)))</f>
        <v/>
      </c>
      <c r="Z41" s="20">
        <f>IF(U41&gt;0,"Order",IF(T41&gt;1.3*S41,"Overstocked","Hold"))</f>
        <v/>
      </c>
      <c r="AA41" s="24">
        <f>W41*HoldRate</f>
        <v/>
      </c>
    </row>
    <row r="42">
      <c r="A42" s="9" t="inlineStr">
        <is>
          <t>SKU-038</t>
        </is>
      </c>
      <c r="B42" s="9" t="inlineStr">
        <is>
          <t>Pet</t>
        </is>
      </c>
      <c r="C42" s="9" t="inlineStr">
        <is>
          <t>A</t>
        </is>
      </c>
      <c r="D42" s="16" t="n">
        <v>7.36</v>
      </c>
      <c r="E42" s="9" t="n">
        <v>4</v>
      </c>
      <c r="F42" s="9" t="n">
        <v>24</v>
      </c>
      <c r="G42" s="9" t="n">
        <v>96</v>
      </c>
      <c r="H42" s="17" t="n">
        <v>250.76</v>
      </c>
      <c r="I42" s="17" t="n">
        <v>251.1</v>
      </c>
      <c r="J42" s="17" t="n">
        <v>2.6</v>
      </c>
      <c r="K42" s="18" t="n">
        <v>579.7</v>
      </c>
      <c r="L42" s="18" t="n">
        <v>1260</v>
      </c>
      <c r="M42" s="19">
        <f>H42*(1+Uplift)</f>
        <v/>
      </c>
      <c r="N42" s="20">
        <f>E42+LTDelay</f>
        <v/>
      </c>
      <c r="O42" s="21">
        <f>IF(Mode="Global",NORMSINV(GlobalSL),J42)</f>
        <v/>
      </c>
      <c r="P42" s="22">
        <f>M42*(N42+1)</f>
        <v/>
      </c>
      <c r="Q42" s="19">
        <f>I42*(1+Uplift)*SQRT((N42+1)/(E42+1))</f>
        <v/>
      </c>
      <c r="R42" s="22">
        <f>O42*Q42</f>
        <v/>
      </c>
      <c r="S42" s="22">
        <f>P42+R42</f>
        <v/>
      </c>
      <c r="T42" s="22">
        <f>K42+L42</f>
        <v/>
      </c>
      <c r="U42" s="23">
        <f>IF(S42-T42&lt;=0,0,MAX(G42,CEILING(S42-T42,F42)))</f>
        <v/>
      </c>
      <c r="V42" s="24">
        <f>U42*D42</f>
        <v/>
      </c>
      <c r="W42" s="24">
        <f>R42*D42</f>
        <v/>
      </c>
      <c r="X42" s="19">
        <f>IF(M42&gt;0,K42/M42,0)</f>
        <v/>
      </c>
      <c r="Y42" s="21">
        <f>Q42*(NORMDIST(O42,0,1,FALSE)-O42*(1-NORMSDIST(O42)))</f>
        <v/>
      </c>
      <c r="Z42" s="20">
        <f>IF(U42&gt;0,"Order",IF(T42&gt;1.3*S42,"Overstocked","Hold"))</f>
        <v/>
      </c>
      <c r="AA42" s="24">
        <f>W42*HoldRate</f>
        <v/>
      </c>
    </row>
    <row r="43">
      <c r="A43" s="9" t="inlineStr">
        <is>
          <t>SKU-039</t>
        </is>
      </c>
      <c r="B43" s="9" t="inlineStr">
        <is>
          <t>Seasonal</t>
        </is>
      </c>
      <c r="C43" s="9" t="inlineStr">
        <is>
          <t>A</t>
        </is>
      </c>
      <c r="D43" s="16" t="n">
        <v>6.48</v>
      </c>
      <c r="E43" s="9" t="n">
        <v>2</v>
      </c>
      <c r="F43" s="9" t="n">
        <v>12</v>
      </c>
      <c r="G43" s="9" t="n">
        <v>24</v>
      </c>
      <c r="H43" s="17" t="n">
        <v>205.17</v>
      </c>
      <c r="I43" s="17" t="n">
        <v>102.4</v>
      </c>
      <c r="J43" s="17" t="n">
        <v>2.2</v>
      </c>
      <c r="K43" s="18" t="n">
        <v>59.8</v>
      </c>
      <c r="L43" s="18" t="n">
        <v>709.8</v>
      </c>
      <c r="M43" s="19">
        <f>H43*(1+Uplift)</f>
        <v/>
      </c>
      <c r="N43" s="20">
        <f>E43+LTDelay</f>
        <v/>
      </c>
      <c r="O43" s="21">
        <f>IF(Mode="Global",NORMSINV(GlobalSL),J43)</f>
        <v/>
      </c>
      <c r="P43" s="22">
        <f>M43*(N43+1)</f>
        <v/>
      </c>
      <c r="Q43" s="19">
        <f>I43*(1+Uplift)*SQRT((N43+1)/(E43+1))</f>
        <v/>
      </c>
      <c r="R43" s="22">
        <f>O43*Q43</f>
        <v/>
      </c>
      <c r="S43" s="22">
        <f>P43+R43</f>
        <v/>
      </c>
      <c r="T43" s="22">
        <f>K43+L43</f>
        <v/>
      </c>
      <c r="U43" s="23">
        <f>IF(S43-T43&lt;=0,0,MAX(G43,CEILING(S43-T43,F43)))</f>
        <v/>
      </c>
      <c r="V43" s="24">
        <f>U43*D43</f>
        <v/>
      </c>
      <c r="W43" s="24">
        <f>R43*D43</f>
        <v/>
      </c>
      <c r="X43" s="19">
        <f>IF(M43&gt;0,K43/M43,0)</f>
        <v/>
      </c>
      <c r="Y43" s="21">
        <f>Q43*(NORMDIST(O43,0,1,FALSE)-O43*(1-NORMSDIST(O43)))</f>
        <v/>
      </c>
      <c r="Z43" s="20">
        <f>IF(U43&gt;0,"Order",IF(T43&gt;1.3*S43,"Overstocked","Hold"))</f>
        <v/>
      </c>
      <c r="AA43" s="24">
        <f>W43*HoldRate</f>
        <v/>
      </c>
    </row>
    <row r="44">
      <c r="A44" s="9" t="inlineStr">
        <is>
          <t>SKU-040</t>
        </is>
      </c>
      <c r="B44" s="9" t="inlineStr">
        <is>
          <t>Beverages</t>
        </is>
      </c>
      <c r="C44" s="9" t="inlineStr">
        <is>
          <t>A</t>
        </is>
      </c>
      <c r="D44" s="16" t="n">
        <v>9.68</v>
      </c>
      <c r="E44" s="9" t="n">
        <v>4</v>
      </c>
      <c r="F44" s="9" t="n">
        <v>12</v>
      </c>
      <c r="G44" s="9" t="n">
        <v>48</v>
      </c>
      <c r="H44" s="17" t="n">
        <v>76.94</v>
      </c>
      <c r="I44" s="17" t="n">
        <v>134.1</v>
      </c>
      <c r="J44" s="17" t="n">
        <v>2.3</v>
      </c>
      <c r="K44" s="18" t="n">
        <v>377.9</v>
      </c>
      <c r="L44" s="18" t="n">
        <v>297.8</v>
      </c>
      <c r="M44" s="19">
        <f>H44*(1+Uplift)</f>
        <v/>
      </c>
      <c r="N44" s="20">
        <f>E44+LTDelay</f>
        <v/>
      </c>
      <c r="O44" s="21">
        <f>IF(Mode="Global",NORMSINV(GlobalSL),J44)</f>
        <v/>
      </c>
      <c r="P44" s="22">
        <f>M44*(N44+1)</f>
        <v/>
      </c>
      <c r="Q44" s="19">
        <f>I44*(1+Uplift)*SQRT((N44+1)/(E44+1))</f>
        <v/>
      </c>
      <c r="R44" s="22">
        <f>O44*Q44</f>
        <v/>
      </c>
      <c r="S44" s="22">
        <f>P44+R44</f>
        <v/>
      </c>
      <c r="T44" s="22">
        <f>K44+L44</f>
        <v/>
      </c>
      <c r="U44" s="23">
        <f>IF(S44-T44&lt;=0,0,MAX(G44,CEILING(S44-T44,F44)))</f>
        <v/>
      </c>
      <c r="V44" s="24">
        <f>U44*D44</f>
        <v/>
      </c>
      <c r="W44" s="24">
        <f>R44*D44</f>
        <v/>
      </c>
      <c r="X44" s="19">
        <f>IF(M44&gt;0,K44/M44,0)</f>
        <v/>
      </c>
      <c r="Y44" s="21">
        <f>Q44*(NORMDIST(O44,0,1,FALSE)-O44*(1-NORMSDIST(O44)))</f>
        <v/>
      </c>
      <c r="Z44" s="20">
        <f>IF(U44&gt;0,"Order",IF(T44&gt;1.3*S44,"Overstocked","Hold"))</f>
        <v/>
      </c>
      <c r="AA44" s="24">
        <f>W44*HoldRate</f>
        <v/>
      </c>
    </row>
    <row r="45">
      <c r="A45" s="9" t="inlineStr">
        <is>
          <t>SKU-041</t>
        </is>
      </c>
      <c r="B45" s="9" t="inlineStr">
        <is>
          <t>Household</t>
        </is>
      </c>
      <c r="C45" s="9" t="inlineStr">
        <is>
          <t>B</t>
        </is>
      </c>
      <c r="D45" s="16" t="n">
        <v>22.78</v>
      </c>
      <c r="E45" s="9" t="n">
        <v>2</v>
      </c>
      <c r="F45" s="9" t="n">
        <v>6</v>
      </c>
      <c r="G45" s="9" t="n">
        <v>24</v>
      </c>
      <c r="H45" s="17" t="n">
        <v>29.13</v>
      </c>
      <c r="I45" s="17" t="n">
        <v>21.5</v>
      </c>
      <c r="J45" s="17" t="n">
        <v>2.2</v>
      </c>
      <c r="K45" s="18" t="n">
        <v>94.90000000000001</v>
      </c>
      <c r="L45" s="18" t="n">
        <v>14.8</v>
      </c>
      <c r="M45" s="19">
        <f>H45*(1+Uplift)</f>
        <v/>
      </c>
      <c r="N45" s="20">
        <f>E45+LTDelay</f>
        <v/>
      </c>
      <c r="O45" s="21">
        <f>IF(Mode="Global",NORMSINV(GlobalSL),J45)</f>
        <v/>
      </c>
      <c r="P45" s="22">
        <f>M45*(N45+1)</f>
        <v/>
      </c>
      <c r="Q45" s="19">
        <f>I45*(1+Uplift)*SQRT((N45+1)/(E45+1))</f>
        <v/>
      </c>
      <c r="R45" s="22">
        <f>O45*Q45</f>
        <v/>
      </c>
      <c r="S45" s="22">
        <f>P45+R45</f>
        <v/>
      </c>
      <c r="T45" s="22">
        <f>K45+L45</f>
        <v/>
      </c>
      <c r="U45" s="23">
        <f>IF(S45-T45&lt;=0,0,MAX(G45,CEILING(S45-T45,F45)))</f>
        <v/>
      </c>
      <c r="V45" s="24">
        <f>U45*D45</f>
        <v/>
      </c>
      <c r="W45" s="24">
        <f>R45*D45</f>
        <v/>
      </c>
      <c r="X45" s="19">
        <f>IF(M45&gt;0,K45/M45,0)</f>
        <v/>
      </c>
      <c r="Y45" s="21">
        <f>Q45*(NORMDIST(O45,0,1,FALSE)-O45*(1-NORMSDIST(O45)))</f>
        <v/>
      </c>
      <c r="Z45" s="20">
        <f>IF(U45&gt;0,"Order",IF(T45&gt;1.3*S45,"Overstocked","Hold"))</f>
        <v/>
      </c>
      <c r="AA45" s="24">
        <f>W45*HoldRate</f>
        <v/>
      </c>
    </row>
    <row r="46">
      <c r="A46" s="9" t="inlineStr">
        <is>
          <t>SKU-042</t>
        </is>
      </c>
      <c r="B46" s="9" t="inlineStr">
        <is>
          <t>Seasonal</t>
        </is>
      </c>
      <c r="C46" s="9" t="inlineStr">
        <is>
          <t>C</t>
        </is>
      </c>
      <c r="D46" s="16" t="n">
        <v>7.94</v>
      </c>
      <c r="E46" s="9" t="n">
        <v>3</v>
      </c>
      <c r="F46" s="9" t="n">
        <v>12</v>
      </c>
      <c r="G46" s="9" t="n">
        <v>12</v>
      </c>
      <c r="H46" s="17" t="n">
        <v>44.88</v>
      </c>
      <c r="I46" s="17" t="n">
        <v>29.3</v>
      </c>
      <c r="J46" s="17" t="n">
        <v>2.2</v>
      </c>
      <c r="K46" s="18" t="n">
        <v>112.8</v>
      </c>
      <c r="L46" s="18" t="n">
        <v>89.7</v>
      </c>
      <c r="M46" s="19">
        <f>H46*(1+Uplift)</f>
        <v/>
      </c>
      <c r="N46" s="20">
        <f>E46+LTDelay</f>
        <v/>
      </c>
      <c r="O46" s="21">
        <f>IF(Mode="Global",NORMSINV(GlobalSL),J46)</f>
        <v/>
      </c>
      <c r="P46" s="22">
        <f>M46*(N46+1)</f>
        <v/>
      </c>
      <c r="Q46" s="19">
        <f>I46*(1+Uplift)*SQRT((N46+1)/(E46+1))</f>
        <v/>
      </c>
      <c r="R46" s="22">
        <f>O46*Q46</f>
        <v/>
      </c>
      <c r="S46" s="22">
        <f>P46+R46</f>
        <v/>
      </c>
      <c r="T46" s="22">
        <f>K46+L46</f>
        <v/>
      </c>
      <c r="U46" s="23">
        <f>IF(S46-T46&lt;=0,0,MAX(G46,CEILING(S46-T46,F46)))</f>
        <v/>
      </c>
      <c r="V46" s="24">
        <f>U46*D46</f>
        <v/>
      </c>
      <c r="W46" s="24">
        <f>R46*D46</f>
        <v/>
      </c>
      <c r="X46" s="19">
        <f>IF(M46&gt;0,K46/M46,0)</f>
        <v/>
      </c>
      <c r="Y46" s="21">
        <f>Q46*(NORMDIST(O46,0,1,FALSE)-O46*(1-NORMSDIST(O46)))</f>
        <v/>
      </c>
      <c r="Z46" s="20">
        <f>IF(U46&gt;0,"Order",IF(T46&gt;1.3*S46,"Overstocked","Hold"))</f>
        <v/>
      </c>
      <c r="AA46" s="24">
        <f>W46*HoldRate</f>
        <v/>
      </c>
    </row>
    <row r="47">
      <c r="A47" s="9" t="inlineStr">
        <is>
          <t>SKU-043</t>
        </is>
      </c>
      <c r="B47" s="9" t="inlineStr">
        <is>
          <t>Personal Care</t>
        </is>
      </c>
      <c r="C47" s="9" t="inlineStr">
        <is>
          <t>B</t>
        </is>
      </c>
      <c r="D47" s="16" t="n">
        <v>12.37</v>
      </c>
      <c r="E47" s="9" t="n">
        <v>3</v>
      </c>
      <c r="F47" s="9" t="n">
        <v>24</v>
      </c>
      <c r="G47" s="9" t="n">
        <v>96</v>
      </c>
      <c r="H47" s="17" t="n">
        <v>59.02</v>
      </c>
      <c r="I47" s="17" t="n">
        <v>63.9</v>
      </c>
      <c r="J47" s="17" t="n">
        <v>2.1</v>
      </c>
      <c r="K47" s="18" t="n">
        <v>152.1</v>
      </c>
      <c r="L47" s="18" t="n">
        <v>214.2</v>
      </c>
      <c r="M47" s="19">
        <f>H47*(1+Uplift)</f>
        <v/>
      </c>
      <c r="N47" s="20">
        <f>E47+LTDelay</f>
        <v/>
      </c>
      <c r="O47" s="21">
        <f>IF(Mode="Global",NORMSINV(GlobalSL),J47)</f>
        <v/>
      </c>
      <c r="P47" s="22">
        <f>M47*(N47+1)</f>
        <v/>
      </c>
      <c r="Q47" s="19">
        <f>I47*(1+Uplift)*SQRT((N47+1)/(E47+1))</f>
        <v/>
      </c>
      <c r="R47" s="22">
        <f>O47*Q47</f>
        <v/>
      </c>
      <c r="S47" s="22">
        <f>P47+R47</f>
        <v/>
      </c>
      <c r="T47" s="22">
        <f>K47+L47</f>
        <v/>
      </c>
      <c r="U47" s="23">
        <f>IF(S47-T47&lt;=0,0,MAX(G47,CEILING(S47-T47,F47)))</f>
        <v/>
      </c>
      <c r="V47" s="24">
        <f>U47*D47</f>
        <v/>
      </c>
      <c r="W47" s="24">
        <f>R47*D47</f>
        <v/>
      </c>
      <c r="X47" s="19">
        <f>IF(M47&gt;0,K47/M47,0)</f>
        <v/>
      </c>
      <c r="Y47" s="21">
        <f>Q47*(NORMDIST(O47,0,1,FALSE)-O47*(1-NORMSDIST(O47)))</f>
        <v/>
      </c>
      <c r="Z47" s="20">
        <f>IF(U47&gt;0,"Order",IF(T47&gt;1.3*S47,"Overstocked","Hold"))</f>
        <v/>
      </c>
      <c r="AA47" s="24">
        <f>W47*HoldRate</f>
        <v/>
      </c>
    </row>
    <row r="48">
      <c r="A48" s="9" t="inlineStr">
        <is>
          <t>SKU-044</t>
        </is>
      </c>
      <c r="B48" s="9" t="inlineStr">
        <is>
          <t>Seasonal</t>
        </is>
      </c>
      <c r="C48" s="9" t="inlineStr">
        <is>
          <t>C</t>
        </is>
      </c>
      <c r="D48" s="16" t="n">
        <v>1.43</v>
      </c>
      <c r="E48" s="9" t="n">
        <v>1</v>
      </c>
      <c r="F48" s="9" t="n">
        <v>12</v>
      </c>
      <c r="G48" s="9" t="n">
        <v>48</v>
      </c>
      <c r="H48" s="17" t="n">
        <v>31.3</v>
      </c>
      <c r="I48" s="17" t="n">
        <v>12</v>
      </c>
      <c r="J48" s="17" t="n">
        <v>2.1</v>
      </c>
      <c r="K48" s="18" t="n">
        <v>40.2</v>
      </c>
      <c r="L48" s="18" t="n">
        <v>40.1</v>
      </c>
      <c r="M48" s="19">
        <f>H48*(1+Uplift)</f>
        <v/>
      </c>
      <c r="N48" s="20">
        <f>E48+LTDelay</f>
        <v/>
      </c>
      <c r="O48" s="21">
        <f>IF(Mode="Global",NORMSINV(GlobalSL),J48)</f>
        <v/>
      </c>
      <c r="P48" s="22">
        <f>M48*(N48+1)</f>
        <v/>
      </c>
      <c r="Q48" s="19">
        <f>I48*(1+Uplift)*SQRT((N48+1)/(E48+1))</f>
        <v/>
      </c>
      <c r="R48" s="22">
        <f>O48*Q48</f>
        <v/>
      </c>
      <c r="S48" s="22">
        <f>P48+R48</f>
        <v/>
      </c>
      <c r="T48" s="22">
        <f>K48+L48</f>
        <v/>
      </c>
      <c r="U48" s="23">
        <f>IF(S48-T48&lt;=0,0,MAX(G48,CEILING(S48-T48,F48)))</f>
        <v/>
      </c>
      <c r="V48" s="24">
        <f>U48*D48</f>
        <v/>
      </c>
      <c r="W48" s="24">
        <f>R48*D48</f>
        <v/>
      </c>
      <c r="X48" s="19">
        <f>IF(M48&gt;0,K48/M48,0)</f>
        <v/>
      </c>
      <c r="Y48" s="21">
        <f>Q48*(NORMDIST(O48,0,1,FALSE)-O48*(1-NORMSDIST(O48)))</f>
        <v/>
      </c>
      <c r="Z48" s="20">
        <f>IF(U48&gt;0,"Order",IF(T48&gt;1.3*S48,"Overstocked","Hold"))</f>
        <v/>
      </c>
      <c r="AA48" s="24">
        <f>W48*HoldRate</f>
        <v/>
      </c>
    </row>
    <row r="49">
      <c r="A49" s="9" t="inlineStr">
        <is>
          <t>SKU-045</t>
        </is>
      </c>
      <c r="B49" s="9" t="inlineStr">
        <is>
          <t>Pet</t>
        </is>
      </c>
      <c r="C49" s="9" t="inlineStr">
        <is>
          <t>B</t>
        </is>
      </c>
      <c r="D49" s="16" t="n">
        <v>7.11</v>
      </c>
      <c r="E49" s="9" t="n">
        <v>2</v>
      </c>
      <c r="F49" s="9" t="n">
        <v>6</v>
      </c>
      <c r="G49" s="9" t="n">
        <v>12</v>
      </c>
      <c r="H49" s="17" t="n">
        <v>86.56999999999999</v>
      </c>
      <c r="I49" s="17" t="n">
        <v>40.8</v>
      </c>
      <c r="J49" s="17" t="n">
        <v>2.2</v>
      </c>
      <c r="K49" s="18" t="n">
        <v>80</v>
      </c>
      <c r="L49" s="18" t="n">
        <v>236.2</v>
      </c>
      <c r="M49" s="19">
        <f>H49*(1+Uplift)</f>
        <v/>
      </c>
      <c r="N49" s="20">
        <f>E49+LTDelay</f>
        <v/>
      </c>
      <c r="O49" s="21">
        <f>IF(Mode="Global",NORMSINV(GlobalSL),J49)</f>
        <v/>
      </c>
      <c r="P49" s="22">
        <f>M49*(N49+1)</f>
        <v/>
      </c>
      <c r="Q49" s="19">
        <f>I49*(1+Uplift)*SQRT((N49+1)/(E49+1))</f>
        <v/>
      </c>
      <c r="R49" s="22">
        <f>O49*Q49</f>
        <v/>
      </c>
      <c r="S49" s="22">
        <f>P49+R49</f>
        <v/>
      </c>
      <c r="T49" s="22">
        <f>K49+L49</f>
        <v/>
      </c>
      <c r="U49" s="23">
        <f>IF(S49-T49&lt;=0,0,MAX(G49,CEILING(S49-T49,F49)))</f>
        <v/>
      </c>
      <c r="V49" s="24">
        <f>U49*D49</f>
        <v/>
      </c>
      <c r="W49" s="24">
        <f>R49*D49</f>
        <v/>
      </c>
      <c r="X49" s="19">
        <f>IF(M49&gt;0,K49/M49,0)</f>
        <v/>
      </c>
      <c r="Y49" s="21">
        <f>Q49*(NORMDIST(O49,0,1,FALSE)-O49*(1-NORMSDIST(O49)))</f>
        <v/>
      </c>
      <c r="Z49" s="20">
        <f>IF(U49&gt;0,"Order",IF(T49&gt;1.3*S49,"Overstocked","Hold"))</f>
        <v/>
      </c>
      <c r="AA49" s="24">
        <f>W49*HoldRate</f>
        <v/>
      </c>
    </row>
    <row r="50">
      <c r="A50" s="9" t="inlineStr">
        <is>
          <t>SKU-046</t>
        </is>
      </c>
      <c r="B50" s="9" t="inlineStr">
        <is>
          <t>Snacks</t>
        </is>
      </c>
      <c r="C50" s="9" t="inlineStr">
        <is>
          <t>C</t>
        </is>
      </c>
      <c r="D50" s="16" t="n">
        <v>3.76</v>
      </c>
      <c r="E50" s="9" t="n">
        <v>1</v>
      </c>
      <c r="F50" s="9" t="n">
        <v>12</v>
      </c>
      <c r="G50" s="9" t="n">
        <v>48</v>
      </c>
      <c r="H50" s="17" t="n">
        <v>39.05</v>
      </c>
      <c r="I50" s="17" t="n">
        <v>15.5</v>
      </c>
      <c r="J50" s="17" t="n">
        <v>2.1</v>
      </c>
      <c r="K50" s="18" t="n">
        <v>47.5</v>
      </c>
      <c r="L50" s="18" t="n">
        <v>48.3</v>
      </c>
      <c r="M50" s="19">
        <f>H50*(1+Uplift)</f>
        <v/>
      </c>
      <c r="N50" s="20">
        <f>E50+LTDelay</f>
        <v/>
      </c>
      <c r="O50" s="21">
        <f>IF(Mode="Global",NORMSINV(GlobalSL),J50)</f>
        <v/>
      </c>
      <c r="P50" s="22">
        <f>M50*(N50+1)</f>
        <v/>
      </c>
      <c r="Q50" s="19">
        <f>I50*(1+Uplift)*SQRT((N50+1)/(E50+1))</f>
        <v/>
      </c>
      <c r="R50" s="22">
        <f>O50*Q50</f>
        <v/>
      </c>
      <c r="S50" s="22">
        <f>P50+R50</f>
        <v/>
      </c>
      <c r="T50" s="22">
        <f>K50+L50</f>
        <v/>
      </c>
      <c r="U50" s="23">
        <f>IF(S50-T50&lt;=0,0,MAX(G50,CEILING(S50-T50,F50)))</f>
        <v/>
      </c>
      <c r="V50" s="24">
        <f>U50*D50</f>
        <v/>
      </c>
      <c r="W50" s="24">
        <f>R50*D50</f>
        <v/>
      </c>
      <c r="X50" s="19">
        <f>IF(M50&gt;0,K50/M50,0)</f>
        <v/>
      </c>
      <c r="Y50" s="21">
        <f>Q50*(NORMDIST(O50,0,1,FALSE)-O50*(1-NORMSDIST(O50)))</f>
        <v/>
      </c>
      <c r="Z50" s="20">
        <f>IF(U50&gt;0,"Order",IF(T50&gt;1.3*S50,"Overstocked","Hold"))</f>
        <v/>
      </c>
      <c r="AA50" s="24">
        <f>W50*HoldRate</f>
        <v/>
      </c>
    </row>
    <row r="51">
      <c r="A51" s="9" t="inlineStr">
        <is>
          <t>SKU-047</t>
        </is>
      </c>
      <c r="B51" s="9" t="inlineStr">
        <is>
          <t>Seasonal</t>
        </is>
      </c>
      <c r="C51" s="9" t="inlineStr">
        <is>
          <t>C</t>
        </is>
      </c>
      <c r="D51" s="16" t="n">
        <v>2.79</v>
      </c>
      <c r="E51" s="9" t="n">
        <v>1</v>
      </c>
      <c r="F51" s="9" t="n">
        <v>24</v>
      </c>
      <c r="G51" s="9" t="n">
        <v>96</v>
      </c>
      <c r="H51" s="17" t="n">
        <v>121.8</v>
      </c>
      <c r="I51" s="17" t="n">
        <v>25.1</v>
      </c>
      <c r="J51" s="17" t="n">
        <v>2.5</v>
      </c>
      <c r="K51" s="18" t="n">
        <v>78.5</v>
      </c>
      <c r="L51" s="18" t="n">
        <v>131.4</v>
      </c>
      <c r="M51" s="19">
        <f>H51*(1+Uplift)</f>
        <v/>
      </c>
      <c r="N51" s="20">
        <f>E51+LTDelay</f>
        <v/>
      </c>
      <c r="O51" s="21">
        <f>IF(Mode="Global",NORMSINV(GlobalSL),J51)</f>
        <v/>
      </c>
      <c r="P51" s="22">
        <f>M51*(N51+1)</f>
        <v/>
      </c>
      <c r="Q51" s="19">
        <f>I51*(1+Uplift)*SQRT((N51+1)/(E51+1))</f>
        <v/>
      </c>
      <c r="R51" s="22">
        <f>O51*Q51</f>
        <v/>
      </c>
      <c r="S51" s="22">
        <f>P51+R51</f>
        <v/>
      </c>
      <c r="T51" s="22">
        <f>K51+L51</f>
        <v/>
      </c>
      <c r="U51" s="23">
        <f>IF(S51-T51&lt;=0,0,MAX(G51,CEILING(S51-T51,F51)))</f>
        <v/>
      </c>
      <c r="V51" s="24">
        <f>U51*D51</f>
        <v/>
      </c>
      <c r="W51" s="24">
        <f>R51*D51</f>
        <v/>
      </c>
      <c r="X51" s="19">
        <f>IF(M51&gt;0,K51/M51,0)</f>
        <v/>
      </c>
      <c r="Y51" s="21">
        <f>Q51*(NORMDIST(O51,0,1,FALSE)-O51*(1-NORMSDIST(O51)))</f>
        <v/>
      </c>
      <c r="Z51" s="20">
        <f>IF(U51&gt;0,"Order",IF(T51&gt;1.3*S51,"Overstocked","Hold"))</f>
        <v/>
      </c>
      <c r="AA51" s="24">
        <f>W51*HoldRate</f>
        <v/>
      </c>
    </row>
    <row r="52">
      <c r="A52" s="9" t="inlineStr">
        <is>
          <t>SKU-048</t>
        </is>
      </c>
      <c r="B52" s="9" t="inlineStr">
        <is>
          <t>Beverages</t>
        </is>
      </c>
      <c r="C52" s="9" t="inlineStr">
        <is>
          <t>A</t>
        </is>
      </c>
      <c r="D52" s="16" t="n">
        <v>3.66</v>
      </c>
      <c r="E52" s="9" t="n">
        <v>2</v>
      </c>
      <c r="F52" s="9" t="n">
        <v>24</v>
      </c>
      <c r="G52" s="9" t="n">
        <v>96</v>
      </c>
      <c r="H52" s="17" t="n">
        <v>119.77</v>
      </c>
      <c r="I52" s="17" t="n">
        <v>101.3</v>
      </c>
      <c r="J52" s="17" t="n">
        <v>2.5</v>
      </c>
      <c r="K52" s="18" t="n">
        <v>333.2</v>
      </c>
      <c r="L52" s="18" t="n">
        <v>250.8</v>
      </c>
      <c r="M52" s="19">
        <f>H52*(1+Uplift)</f>
        <v/>
      </c>
      <c r="N52" s="20">
        <f>E52+LTDelay</f>
        <v/>
      </c>
      <c r="O52" s="21">
        <f>IF(Mode="Global",NORMSINV(GlobalSL),J52)</f>
        <v/>
      </c>
      <c r="P52" s="22">
        <f>M52*(N52+1)</f>
        <v/>
      </c>
      <c r="Q52" s="19">
        <f>I52*(1+Uplift)*SQRT((N52+1)/(E52+1))</f>
        <v/>
      </c>
      <c r="R52" s="22">
        <f>O52*Q52</f>
        <v/>
      </c>
      <c r="S52" s="22">
        <f>P52+R52</f>
        <v/>
      </c>
      <c r="T52" s="22">
        <f>K52+L52</f>
        <v/>
      </c>
      <c r="U52" s="23">
        <f>IF(S52-T52&lt;=0,0,MAX(G52,CEILING(S52-T52,F52)))</f>
        <v/>
      </c>
      <c r="V52" s="24">
        <f>U52*D52</f>
        <v/>
      </c>
      <c r="W52" s="24">
        <f>R52*D52</f>
        <v/>
      </c>
      <c r="X52" s="19">
        <f>IF(M52&gt;0,K52/M52,0)</f>
        <v/>
      </c>
      <c r="Y52" s="21">
        <f>Q52*(NORMDIST(O52,0,1,FALSE)-O52*(1-NORMSDIST(O52)))</f>
        <v/>
      </c>
      <c r="Z52" s="20">
        <f>IF(U52&gt;0,"Order",IF(T52&gt;1.3*S52,"Overstocked","Hold"))</f>
        <v/>
      </c>
      <c r="AA52" s="24">
        <f>W52*HoldRate</f>
        <v/>
      </c>
    </row>
    <row r="53">
      <c r="A53" s="9" t="inlineStr">
        <is>
          <t>SKU-049</t>
        </is>
      </c>
      <c r="B53" s="9" t="inlineStr">
        <is>
          <t>Seasonal</t>
        </is>
      </c>
      <c r="C53" s="9" t="inlineStr">
        <is>
          <t>A</t>
        </is>
      </c>
      <c r="D53" s="16" t="n">
        <v>5.66</v>
      </c>
      <c r="E53" s="9" t="n">
        <v>2</v>
      </c>
      <c r="F53" s="9" t="n">
        <v>6</v>
      </c>
      <c r="G53" s="9" t="n">
        <v>24</v>
      </c>
      <c r="H53" s="17" t="n">
        <v>187.9</v>
      </c>
      <c r="I53" s="17" t="n">
        <v>103.9</v>
      </c>
      <c r="J53" s="17" t="n">
        <v>2.4</v>
      </c>
      <c r="K53" s="18" t="n">
        <v>273.8</v>
      </c>
      <c r="L53" s="18" t="n">
        <v>438.5</v>
      </c>
      <c r="M53" s="19">
        <f>H53*(1+Uplift)</f>
        <v/>
      </c>
      <c r="N53" s="20">
        <f>E53+LTDelay</f>
        <v/>
      </c>
      <c r="O53" s="21">
        <f>IF(Mode="Global",NORMSINV(GlobalSL),J53)</f>
        <v/>
      </c>
      <c r="P53" s="22">
        <f>M53*(N53+1)</f>
        <v/>
      </c>
      <c r="Q53" s="19">
        <f>I53*(1+Uplift)*SQRT((N53+1)/(E53+1))</f>
        <v/>
      </c>
      <c r="R53" s="22">
        <f>O53*Q53</f>
        <v/>
      </c>
      <c r="S53" s="22">
        <f>P53+R53</f>
        <v/>
      </c>
      <c r="T53" s="22">
        <f>K53+L53</f>
        <v/>
      </c>
      <c r="U53" s="23">
        <f>IF(S53-T53&lt;=0,0,MAX(G53,CEILING(S53-T53,F53)))</f>
        <v/>
      </c>
      <c r="V53" s="24">
        <f>U53*D53</f>
        <v/>
      </c>
      <c r="W53" s="24">
        <f>R53*D53</f>
        <v/>
      </c>
      <c r="X53" s="19">
        <f>IF(M53&gt;0,K53/M53,0)</f>
        <v/>
      </c>
      <c r="Y53" s="21">
        <f>Q53*(NORMDIST(O53,0,1,FALSE)-O53*(1-NORMSDIST(O53)))</f>
        <v/>
      </c>
      <c r="Z53" s="20">
        <f>IF(U53&gt;0,"Order",IF(T53&gt;1.3*S53,"Overstocked","Hold"))</f>
        <v/>
      </c>
      <c r="AA53" s="24">
        <f>W53*HoldRate</f>
        <v/>
      </c>
    </row>
    <row r="54">
      <c r="A54" s="9" t="inlineStr">
        <is>
          <t>SKU-050</t>
        </is>
      </c>
      <c r="B54" s="9" t="inlineStr">
        <is>
          <t>Personal Care</t>
        </is>
      </c>
      <c r="C54" s="9" t="inlineStr">
        <is>
          <t>A</t>
        </is>
      </c>
      <c r="D54" s="16" t="n">
        <v>15.37</v>
      </c>
      <c r="E54" s="9" t="n">
        <v>1</v>
      </c>
      <c r="F54" s="9" t="n">
        <v>24</v>
      </c>
      <c r="G54" s="9" t="n">
        <v>48</v>
      </c>
      <c r="H54" s="17" t="n">
        <v>124.65</v>
      </c>
      <c r="I54" s="17" t="n">
        <v>59.9</v>
      </c>
      <c r="J54" s="17" t="n">
        <v>2.3</v>
      </c>
      <c r="K54" s="18" t="n">
        <v>141.3</v>
      </c>
      <c r="L54" s="18" t="n">
        <v>119.3</v>
      </c>
      <c r="M54" s="19">
        <f>H54*(1+Uplift)</f>
        <v/>
      </c>
      <c r="N54" s="20">
        <f>E54+LTDelay</f>
        <v/>
      </c>
      <c r="O54" s="21">
        <f>IF(Mode="Global",NORMSINV(GlobalSL),J54)</f>
        <v/>
      </c>
      <c r="P54" s="22">
        <f>M54*(N54+1)</f>
        <v/>
      </c>
      <c r="Q54" s="19">
        <f>I54*(1+Uplift)*SQRT((N54+1)/(E54+1))</f>
        <v/>
      </c>
      <c r="R54" s="22">
        <f>O54*Q54</f>
        <v/>
      </c>
      <c r="S54" s="22">
        <f>P54+R54</f>
        <v/>
      </c>
      <c r="T54" s="22">
        <f>K54+L54</f>
        <v/>
      </c>
      <c r="U54" s="23">
        <f>IF(S54-T54&lt;=0,0,MAX(G54,CEILING(S54-T54,F54)))</f>
        <v/>
      </c>
      <c r="V54" s="24">
        <f>U54*D54</f>
        <v/>
      </c>
      <c r="W54" s="24">
        <f>R54*D54</f>
        <v/>
      </c>
      <c r="X54" s="19">
        <f>IF(M54&gt;0,K54/M54,0)</f>
        <v/>
      </c>
      <c r="Y54" s="21">
        <f>Q54*(NORMDIST(O54,0,1,FALSE)-O54*(1-NORMSDIST(O54)))</f>
        <v/>
      </c>
      <c r="Z54" s="20">
        <f>IF(U54&gt;0,"Order",IF(T54&gt;1.3*S54,"Overstocked","Hold"))</f>
        <v/>
      </c>
      <c r="AA54" s="24">
        <f>W54*HoldRate</f>
        <v/>
      </c>
    </row>
    <row r="55">
      <c r="A55" s="9" t="inlineStr">
        <is>
          <t>SKU-051</t>
        </is>
      </c>
      <c r="B55" s="9" t="inlineStr">
        <is>
          <t>Beverages</t>
        </is>
      </c>
      <c r="C55" s="9" t="inlineStr">
        <is>
          <t>C</t>
        </is>
      </c>
      <c r="D55" s="16" t="n">
        <v>2.56</v>
      </c>
      <c r="E55" s="9" t="n">
        <v>2</v>
      </c>
      <c r="F55" s="9" t="n">
        <v>24</v>
      </c>
      <c r="G55" s="9" t="n">
        <v>24</v>
      </c>
      <c r="H55" s="17" t="n">
        <v>31.47</v>
      </c>
      <c r="I55" s="17" t="n">
        <v>34.2</v>
      </c>
      <c r="J55" s="17" t="n">
        <v>2.4</v>
      </c>
      <c r="K55" s="18" t="n">
        <v>97.8</v>
      </c>
      <c r="L55" s="18" t="n">
        <v>56.6</v>
      </c>
      <c r="M55" s="19">
        <f>H55*(1+Uplift)</f>
        <v/>
      </c>
      <c r="N55" s="20">
        <f>E55+LTDelay</f>
        <v/>
      </c>
      <c r="O55" s="21">
        <f>IF(Mode="Global",NORMSINV(GlobalSL),J55)</f>
        <v/>
      </c>
      <c r="P55" s="22">
        <f>M55*(N55+1)</f>
        <v/>
      </c>
      <c r="Q55" s="19">
        <f>I55*(1+Uplift)*SQRT((N55+1)/(E55+1))</f>
        <v/>
      </c>
      <c r="R55" s="22">
        <f>O55*Q55</f>
        <v/>
      </c>
      <c r="S55" s="22">
        <f>P55+R55</f>
        <v/>
      </c>
      <c r="T55" s="22">
        <f>K55+L55</f>
        <v/>
      </c>
      <c r="U55" s="23">
        <f>IF(S55-T55&lt;=0,0,MAX(G55,CEILING(S55-T55,F55)))</f>
        <v/>
      </c>
      <c r="V55" s="24">
        <f>U55*D55</f>
        <v/>
      </c>
      <c r="W55" s="24">
        <f>R55*D55</f>
        <v/>
      </c>
      <c r="X55" s="19">
        <f>IF(M55&gt;0,K55/M55,0)</f>
        <v/>
      </c>
      <c r="Y55" s="21">
        <f>Q55*(NORMDIST(O55,0,1,FALSE)-O55*(1-NORMSDIST(O55)))</f>
        <v/>
      </c>
      <c r="Z55" s="20">
        <f>IF(U55&gt;0,"Order",IF(T55&gt;1.3*S55,"Overstocked","Hold"))</f>
        <v/>
      </c>
      <c r="AA55" s="24">
        <f>W55*HoldRate</f>
        <v/>
      </c>
    </row>
    <row r="56">
      <c r="A56" s="9" t="inlineStr">
        <is>
          <t>SKU-052</t>
        </is>
      </c>
      <c r="B56" s="9" t="inlineStr">
        <is>
          <t>Snacks</t>
        </is>
      </c>
      <c r="C56" s="9" t="inlineStr">
        <is>
          <t>C</t>
        </is>
      </c>
      <c r="D56" s="16" t="n">
        <v>7.57</v>
      </c>
      <c r="E56" s="9" t="n">
        <v>3</v>
      </c>
      <c r="F56" s="9" t="n">
        <v>6</v>
      </c>
      <c r="G56" s="9" t="n">
        <v>24</v>
      </c>
      <c r="H56" s="17" t="n">
        <v>29.55</v>
      </c>
      <c r="I56" s="17" t="n">
        <v>34</v>
      </c>
      <c r="J56" s="17" t="n">
        <v>2.6</v>
      </c>
      <c r="K56" s="18" t="n">
        <v>74</v>
      </c>
      <c r="L56" s="18" t="n">
        <v>118.9</v>
      </c>
      <c r="M56" s="19">
        <f>H56*(1+Uplift)</f>
        <v/>
      </c>
      <c r="N56" s="20">
        <f>E56+LTDelay</f>
        <v/>
      </c>
      <c r="O56" s="21">
        <f>IF(Mode="Global",NORMSINV(GlobalSL),J56)</f>
        <v/>
      </c>
      <c r="P56" s="22">
        <f>M56*(N56+1)</f>
        <v/>
      </c>
      <c r="Q56" s="19">
        <f>I56*(1+Uplift)*SQRT((N56+1)/(E56+1))</f>
        <v/>
      </c>
      <c r="R56" s="22">
        <f>O56*Q56</f>
        <v/>
      </c>
      <c r="S56" s="22">
        <f>P56+R56</f>
        <v/>
      </c>
      <c r="T56" s="22">
        <f>K56+L56</f>
        <v/>
      </c>
      <c r="U56" s="23">
        <f>IF(S56-T56&lt;=0,0,MAX(G56,CEILING(S56-T56,F56)))</f>
        <v/>
      </c>
      <c r="V56" s="24">
        <f>U56*D56</f>
        <v/>
      </c>
      <c r="W56" s="24">
        <f>R56*D56</f>
        <v/>
      </c>
      <c r="X56" s="19">
        <f>IF(M56&gt;0,K56/M56,0)</f>
        <v/>
      </c>
      <c r="Y56" s="21">
        <f>Q56*(NORMDIST(O56,0,1,FALSE)-O56*(1-NORMSDIST(O56)))</f>
        <v/>
      </c>
      <c r="Z56" s="20">
        <f>IF(U56&gt;0,"Order",IF(T56&gt;1.3*S56,"Overstocked","Hold"))</f>
        <v/>
      </c>
      <c r="AA56" s="24">
        <f>W56*HoldRate</f>
        <v/>
      </c>
    </row>
    <row r="57">
      <c r="A57" s="9" t="inlineStr">
        <is>
          <t>SKU-053</t>
        </is>
      </c>
      <c r="B57" s="9" t="inlineStr">
        <is>
          <t>Household</t>
        </is>
      </c>
      <c r="C57" s="9" t="inlineStr">
        <is>
          <t>B</t>
        </is>
      </c>
      <c r="D57" s="16" t="n">
        <v>5.02</v>
      </c>
      <c r="E57" s="9" t="n">
        <v>1</v>
      </c>
      <c r="F57" s="9" t="n">
        <v>24</v>
      </c>
      <c r="G57" s="9" t="n">
        <v>48</v>
      </c>
      <c r="H57" s="17" t="n">
        <v>51.55</v>
      </c>
      <c r="I57" s="17" t="n">
        <v>27</v>
      </c>
      <c r="J57" s="17" t="n">
        <v>2.5</v>
      </c>
      <c r="K57" s="18" t="n">
        <v>78.8</v>
      </c>
      <c r="L57" s="18" t="n">
        <v>58.4</v>
      </c>
      <c r="M57" s="19">
        <f>H57*(1+Uplift)</f>
        <v/>
      </c>
      <c r="N57" s="20">
        <f>E57+LTDelay</f>
        <v/>
      </c>
      <c r="O57" s="21">
        <f>IF(Mode="Global",NORMSINV(GlobalSL),J57)</f>
        <v/>
      </c>
      <c r="P57" s="22">
        <f>M57*(N57+1)</f>
        <v/>
      </c>
      <c r="Q57" s="19">
        <f>I57*(1+Uplift)*SQRT((N57+1)/(E57+1))</f>
        <v/>
      </c>
      <c r="R57" s="22">
        <f>O57*Q57</f>
        <v/>
      </c>
      <c r="S57" s="22">
        <f>P57+R57</f>
        <v/>
      </c>
      <c r="T57" s="22">
        <f>K57+L57</f>
        <v/>
      </c>
      <c r="U57" s="23">
        <f>IF(S57-T57&lt;=0,0,MAX(G57,CEILING(S57-T57,F57)))</f>
        <v/>
      </c>
      <c r="V57" s="24">
        <f>U57*D57</f>
        <v/>
      </c>
      <c r="W57" s="24">
        <f>R57*D57</f>
        <v/>
      </c>
      <c r="X57" s="19">
        <f>IF(M57&gt;0,K57/M57,0)</f>
        <v/>
      </c>
      <c r="Y57" s="21">
        <f>Q57*(NORMDIST(O57,0,1,FALSE)-O57*(1-NORMSDIST(O57)))</f>
        <v/>
      </c>
      <c r="Z57" s="20">
        <f>IF(U57&gt;0,"Order",IF(T57&gt;1.3*S57,"Overstocked","Hold"))</f>
        <v/>
      </c>
      <c r="AA57" s="24">
        <f>W57*HoldRate</f>
        <v/>
      </c>
    </row>
    <row r="58">
      <c r="A58" s="9" t="inlineStr">
        <is>
          <t>SKU-054</t>
        </is>
      </c>
      <c r="B58" s="9" t="inlineStr">
        <is>
          <t>Pet</t>
        </is>
      </c>
      <c r="C58" s="9" t="inlineStr">
        <is>
          <t>C</t>
        </is>
      </c>
      <c r="D58" s="16" t="n">
        <v>5.69</v>
      </c>
      <c r="E58" s="9" t="n">
        <v>2</v>
      </c>
      <c r="F58" s="9" t="n">
        <v>12</v>
      </c>
      <c r="G58" s="9" t="n">
        <v>24</v>
      </c>
      <c r="H58" s="17" t="n">
        <v>15.7</v>
      </c>
      <c r="I58" s="17" t="n">
        <v>13.1</v>
      </c>
      <c r="J58" s="17" t="n">
        <v>2.1</v>
      </c>
      <c r="K58" s="18" t="n">
        <v>35.2</v>
      </c>
      <c r="L58" s="18" t="n">
        <v>37.6</v>
      </c>
      <c r="M58" s="19">
        <f>H58*(1+Uplift)</f>
        <v/>
      </c>
      <c r="N58" s="20">
        <f>E58+LTDelay</f>
        <v/>
      </c>
      <c r="O58" s="21">
        <f>IF(Mode="Global",NORMSINV(GlobalSL),J58)</f>
        <v/>
      </c>
      <c r="P58" s="22">
        <f>M58*(N58+1)</f>
        <v/>
      </c>
      <c r="Q58" s="19">
        <f>I58*(1+Uplift)*SQRT((N58+1)/(E58+1))</f>
        <v/>
      </c>
      <c r="R58" s="22">
        <f>O58*Q58</f>
        <v/>
      </c>
      <c r="S58" s="22">
        <f>P58+R58</f>
        <v/>
      </c>
      <c r="T58" s="22">
        <f>K58+L58</f>
        <v/>
      </c>
      <c r="U58" s="23">
        <f>IF(S58-T58&lt;=0,0,MAX(G58,CEILING(S58-T58,F58)))</f>
        <v/>
      </c>
      <c r="V58" s="24">
        <f>U58*D58</f>
        <v/>
      </c>
      <c r="W58" s="24">
        <f>R58*D58</f>
        <v/>
      </c>
      <c r="X58" s="19">
        <f>IF(M58&gt;0,K58/M58,0)</f>
        <v/>
      </c>
      <c r="Y58" s="21">
        <f>Q58*(NORMDIST(O58,0,1,FALSE)-O58*(1-NORMSDIST(O58)))</f>
        <v/>
      </c>
      <c r="Z58" s="20">
        <f>IF(U58&gt;0,"Order",IF(T58&gt;1.3*S58,"Overstocked","Hold"))</f>
        <v/>
      </c>
      <c r="AA58" s="24">
        <f>W58*HoldRate</f>
        <v/>
      </c>
    </row>
    <row r="59">
      <c r="A59" s="9" t="inlineStr">
        <is>
          <t>SKU-055</t>
        </is>
      </c>
      <c r="B59" s="9" t="inlineStr">
        <is>
          <t>Household</t>
        </is>
      </c>
      <c r="C59" s="9" t="inlineStr">
        <is>
          <t>B</t>
        </is>
      </c>
      <c r="D59" s="16" t="n">
        <v>16.48</v>
      </c>
      <c r="E59" s="9" t="n">
        <v>2</v>
      </c>
      <c r="F59" s="9" t="n">
        <v>12</v>
      </c>
      <c r="G59" s="9" t="n">
        <v>12</v>
      </c>
      <c r="H59" s="17" t="n">
        <v>37.1</v>
      </c>
      <c r="I59" s="17" t="n">
        <v>14.1</v>
      </c>
      <c r="J59" s="17" t="n">
        <v>2.2</v>
      </c>
      <c r="K59" s="18" t="n">
        <v>5.3</v>
      </c>
      <c r="L59" s="18" t="n">
        <v>194.2</v>
      </c>
      <c r="M59" s="19">
        <f>H59*(1+Uplift)</f>
        <v/>
      </c>
      <c r="N59" s="20">
        <f>E59+LTDelay</f>
        <v/>
      </c>
      <c r="O59" s="21">
        <f>IF(Mode="Global",NORMSINV(GlobalSL),J59)</f>
        <v/>
      </c>
      <c r="P59" s="22">
        <f>M59*(N59+1)</f>
        <v/>
      </c>
      <c r="Q59" s="19">
        <f>I59*(1+Uplift)*SQRT((N59+1)/(E59+1))</f>
        <v/>
      </c>
      <c r="R59" s="22">
        <f>O59*Q59</f>
        <v/>
      </c>
      <c r="S59" s="22">
        <f>P59+R59</f>
        <v/>
      </c>
      <c r="T59" s="22">
        <f>K59+L59</f>
        <v/>
      </c>
      <c r="U59" s="23">
        <f>IF(S59-T59&lt;=0,0,MAX(G59,CEILING(S59-T59,F59)))</f>
        <v/>
      </c>
      <c r="V59" s="24">
        <f>U59*D59</f>
        <v/>
      </c>
      <c r="W59" s="24">
        <f>R59*D59</f>
        <v/>
      </c>
      <c r="X59" s="19">
        <f>IF(M59&gt;0,K59/M59,0)</f>
        <v/>
      </c>
      <c r="Y59" s="21">
        <f>Q59*(NORMDIST(O59,0,1,FALSE)-O59*(1-NORMSDIST(O59)))</f>
        <v/>
      </c>
      <c r="Z59" s="20">
        <f>IF(U59&gt;0,"Order",IF(T59&gt;1.3*S59,"Overstocked","Hold"))</f>
        <v/>
      </c>
      <c r="AA59" s="24">
        <f>W59*HoldRate</f>
        <v/>
      </c>
    </row>
    <row r="60">
      <c r="A60" s="9" t="inlineStr">
        <is>
          <t>SKU-056</t>
        </is>
      </c>
      <c r="B60" s="9" t="inlineStr">
        <is>
          <t>Beverages</t>
        </is>
      </c>
      <c r="C60" s="9" t="inlineStr">
        <is>
          <t>C</t>
        </is>
      </c>
      <c r="D60" s="16" t="n">
        <v>11.36</v>
      </c>
      <c r="E60" s="9" t="n">
        <v>3</v>
      </c>
      <c r="F60" s="9" t="n">
        <v>12</v>
      </c>
      <c r="G60" s="9" t="n">
        <v>12</v>
      </c>
      <c r="H60" s="17" t="n">
        <v>14.95</v>
      </c>
      <c r="I60" s="17" t="n">
        <v>30</v>
      </c>
      <c r="J60" s="17" t="n">
        <v>2.3</v>
      </c>
      <c r="K60" s="18" t="n">
        <v>69.09999999999999</v>
      </c>
      <c r="L60" s="18" t="n">
        <v>42.3</v>
      </c>
      <c r="M60" s="19">
        <f>H60*(1+Uplift)</f>
        <v/>
      </c>
      <c r="N60" s="20">
        <f>E60+LTDelay</f>
        <v/>
      </c>
      <c r="O60" s="21">
        <f>IF(Mode="Global",NORMSINV(GlobalSL),J60)</f>
        <v/>
      </c>
      <c r="P60" s="22">
        <f>M60*(N60+1)</f>
        <v/>
      </c>
      <c r="Q60" s="19">
        <f>I60*(1+Uplift)*SQRT((N60+1)/(E60+1))</f>
        <v/>
      </c>
      <c r="R60" s="22">
        <f>O60*Q60</f>
        <v/>
      </c>
      <c r="S60" s="22">
        <f>P60+R60</f>
        <v/>
      </c>
      <c r="T60" s="22">
        <f>K60+L60</f>
        <v/>
      </c>
      <c r="U60" s="23">
        <f>IF(S60-T60&lt;=0,0,MAX(G60,CEILING(S60-T60,F60)))</f>
        <v/>
      </c>
      <c r="V60" s="24">
        <f>U60*D60</f>
        <v/>
      </c>
      <c r="W60" s="24">
        <f>R60*D60</f>
        <v/>
      </c>
      <c r="X60" s="19">
        <f>IF(M60&gt;0,K60/M60,0)</f>
        <v/>
      </c>
      <c r="Y60" s="21">
        <f>Q60*(NORMDIST(O60,0,1,FALSE)-O60*(1-NORMSDIST(O60)))</f>
        <v/>
      </c>
      <c r="Z60" s="20">
        <f>IF(U60&gt;0,"Order",IF(T60&gt;1.3*S60,"Overstocked","Hold"))</f>
        <v/>
      </c>
      <c r="AA60" s="24">
        <f>W60*HoldRate</f>
        <v/>
      </c>
    </row>
    <row r="61">
      <c r="A61" s="9" t="inlineStr">
        <is>
          <t>SKU-057</t>
        </is>
      </c>
      <c r="B61" s="9" t="inlineStr">
        <is>
          <t>Personal Care</t>
        </is>
      </c>
      <c r="C61" s="9" t="inlineStr">
        <is>
          <t>A</t>
        </is>
      </c>
      <c r="D61" s="16" t="n">
        <v>21.54</v>
      </c>
      <c r="E61" s="9" t="n">
        <v>2</v>
      </c>
      <c r="F61" s="9" t="n">
        <v>24</v>
      </c>
      <c r="G61" s="9" t="n">
        <v>24</v>
      </c>
      <c r="H61" s="17" t="n">
        <v>43.47</v>
      </c>
      <c r="I61" s="17" t="n">
        <v>17.6</v>
      </c>
      <c r="J61" s="17" t="n">
        <v>2.3</v>
      </c>
      <c r="K61" s="18" t="n">
        <v>45.8</v>
      </c>
      <c r="L61" s="18" t="n">
        <v>91.8</v>
      </c>
      <c r="M61" s="19">
        <f>H61*(1+Uplift)</f>
        <v/>
      </c>
      <c r="N61" s="20">
        <f>E61+LTDelay</f>
        <v/>
      </c>
      <c r="O61" s="21">
        <f>IF(Mode="Global",NORMSINV(GlobalSL),J61)</f>
        <v/>
      </c>
      <c r="P61" s="22">
        <f>M61*(N61+1)</f>
        <v/>
      </c>
      <c r="Q61" s="19">
        <f>I61*(1+Uplift)*SQRT((N61+1)/(E61+1))</f>
        <v/>
      </c>
      <c r="R61" s="22">
        <f>O61*Q61</f>
        <v/>
      </c>
      <c r="S61" s="22">
        <f>P61+R61</f>
        <v/>
      </c>
      <c r="T61" s="22">
        <f>K61+L61</f>
        <v/>
      </c>
      <c r="U61" s="23">
        <f>IF(S61-T61&lt;=0,0,MAX(G61,CEILING(S61-T61,F61)))</f>
        <v/>
      </c>
      <c r="V61" s="24">
        <f>U61*D61</f>
        <v/>
      </c>
      <c r="W61" s="24">
        <f>R61*D61</f>
        <v/>
      </c>
      <c r="X61" s="19">
        <f>IF(M61&gt;0,K61/M61,0)</f>
        <v/>
      </c>
      <c r="Y61" s="21">
        <f>Q61*(NORMDIST(O61,0,1,FALSE)-O61*(1-NORMSDIST(O61)))</f>
        <v/>
      </c>
      <c r="Z61" s="20">
        <f>IF(U61&gt;0,"Order",IF(T61&gt;1.3*S61,"Overstocked","Hold"))</f>
        <v/>
      </c>
      <c r="AA61" s="24">
        <f>W61*HoldRate</f>
        <v/>
      </c>
    </row>
    <row r="62">
      <c r="A62" s="9" t="inlineStr">
        <is>
          <t>SKU-058</t>
        </is>
      </c>
      <c r="B62" s="9" t="inlineStr">
        <is>
          <t>Snacks</t>
        </is>
      </c>
      <c r="C62" s="9" t="inlineStr">
        <is>
          <t>A</t>
        </is>
      </c>
      <c r="D62" s="16" t="n">
        <v>6.53</v>
      </c>
      <c r="E62" s="9" t="n">
        <v>3</v>
      </c>
      <c r="F62" s="9" t="n">
        <v>24</v>
      </c>
      <c r="G62" s="9" t="n">
        <v>96</v>
      </c>
      <c r="H62" s="17" t="n">
        <v>94.90000000000001</v>
      </c>
      <c r="I62" s="17" t="n">
        <v>128.2</v>
      </c>
      <c r="J62" s="17" t="n">
        <v>2.5</v>
      </c>
      <c r="K62" s="18" t="n">
        <v>262.7</v>
      </c>
      <c r="L62" s="18" t="n">
        <v>466</v>
      </c>
      <c r="M62" s="19">
        <f>H62*(1+Uplift)</f>
        <v/>
      </c>
      <c r="N62" s="20">
        <f>E62+LTDelay</f>
        <v/>
      </c>
      <c r="O62" s="21">
        <f>IF(Mode="Global",NORMSINV(GlobalSL),J62)</f>
        <v/>
      </c>
      <c r="P62" s="22">
        <f>M62*(N62+1)</f>
        <v/>
      </c>
      <c r="Q62" s="19">
        <f>I62*(1+Uplift)*SQRT((N62+1)/(E62+1))</f>
        <v/>
      </c>
      <c r="R62" s="22">
        <f>O62*Q62</f>
        <v/>
      </c>
      <c r="S62" s="22">
        <f>P62+R62</f>
        <v/>
      </c>
      <c r="T62" s="22">
        <f>K62+L62</f>
        <v/>
      </c>
      <c r="U62" s="23">
        <f>IF(S62-T62&lt;=0,0,MAX(G62,CEILING(S62-T62,F62)))</f>
        <v/>
      </c>
      <c r="V62" s="24">
        <f>U62*D62</f>
        <v/>
      </c>
      <c r="W62" s="24">
        <f>R62*D62</f>
        <v/>
      </c>
      <c r="X62" s="19">
        <f>IF(M62&gt;0,K62/M62,0)</f>
        <v/>
      </c>
      <c r="Y62" s="21">
        <f>Q62*(NORMDIST(O62,0,1,FALSE)-O62*(1-NORMSDIST(O62)))</f>
        <v/>
      </c>
      <c r="Z62" s="20">
        <f>IF(U62&gt;0,"Order",IF(T62&gt;1.3*S62,"Overstocked","Hold"))</f>
        <v/>
      </c>
      <c r="AA62" s="24">
        <f>W62*HoldRate</f>
        <v/>
      </c>
    </row>
    <row r="63">
      <c r="A63" s="9" t="inlineStr">
        <is>
          <t>SKU-059</t>
        </is>
      </c>
      <c r="B63" s="9" t="inlineStr">
        <is>
          <t>Snacks</t>
        </is>
      </c>
      <c r="C63" s="9" t="inlineStr">
        <is>
          <t>C</t>
        </is>
      </c>
      <c r="D63" s="16" t="n">
        <v>4.23</v>
      </c>
      <c r="E63" s="9" t="n">
        <v>2</v>
      </c>
      <c r="F63" s="9" t="n">
        <v>24</v>
      </c>
      <c r="G63" s="9" t="n">
        <v>24</v>
      </c>
      <c r="H63" s="17" t="n">
        <v>21.97</v>
      </c>
      <c r="I63" s="17" t="n">
        <v>15.3</v>
      </c>
      <c r="J63" s="17" t="n">
        <v>2.4</v>
      </c>
      <c r="K63" s="18" t="n">
        <v>32.6</v>
      </c>
      <c r="L63" s="18" t="n">
        <v>74.40000000000001</v>
      </c>
      <c r="M63" s="19">
        <f>H63*(1+Uplift)</f>
        <v/>
      </c>
      <c r="N63" s="20">
        <f>E63+LTDelay</f>
        <v/>
      </c>
      <c r="O63" s="21">
        <f>IF(Mode="Global",NORMSINV(GlobalSL),J63)</f>
        <v/>
      </c>
      <c r="P63" s="22">
        <f>M63*(N63+1)</f>
        <v/>
      </c>
      <c r="Q63" s="19">
        <f>I63*(1+Uplift)*SQRT((N63+1)/(E63+1))</f>
        <v/>
      </c>
      <c r="R63" s="22">
        <f>O63*Q63</f>
        <v/>
      </c>
      <c r="S63" s="22">
        <f>P63+R63</f>
        <v/>
      </c>
      <c r="T63" s="22">
        <f>K63+L63</f>
        <v/>
      </c>
      <c r="U63" s="23">
        <f>IF(S63-T63&lt;=0,0,MAX(G63,CEILING(S63-T63,F63)))</f>
        <v/>
      </c>
      <c r="V63" s="24">
        <f>U63*D63</f>
        <v/>
      </c>
      <c r="W63" s="24">
        <f>R63*D63</f>
        <v/>
      </c>
      <c r="X63" s="19">
        <f>IF(M63&gt;0,K63/M63,0)</f>
        <v/>
      </c>
      <c r="Y63" s="21">
        <f>Q63*(NORMDIST(O63,0,1,FALSE)-O63*(1-NORMSDIST(O63)))</f>
        <v/>
      </c>
      <c r="Z63" s="20">
        <f>IF(U63&gt;0,"Order",IF(T63&gt;1.3*S63,"Overstocked","Hold"))</f>
        <v/>
      </c>
      <c r="AA63" s="24">
        <f>W63*HoldRate</f>
        <v/>
      </c>
    </row>
    <row r="64">
      <c r="A64" s="9" t="inlineStr">
        <is>
          <t>SKU-060</t>
        </is>
      </c>
      <c r="B64" s="9" t="inlineStr">
        <is>
          <t>Household</t>
        </is>
      </c>
      <c r="C64" s="9" t="inlineStr">
        <is>
          <t>C</t>
        </is>
      </c>
      <c r="D64" s="16" t="n">
        <v>6.18</v>
      </c>
      <c r="E64" s="9" t="n">
        <v>2</v>
      </c>
      <c r="F64" s="9" t="n">
        <v>24</v>
      </c>
      <c r="G64" s="9" t="n">
        <v>24</v>
      </c>
      <c r="H64" s="17" t="n">
        <v>31.47</v>
      </c>
      <c r="I64" s="17" t="n">
        <v>22.7</v>
      </c>
      <c r="J64" s="17" t="n">
        <v>2.1</v>
      </c>
      <c r="K64" s="18" t="n">
        <v>54.5</v>
      </c>
      <c r="L64" s="18" t="n">
        <v>66</v>
      </c>
      <c r="M64" s="19">
        <f>H64*(1+Uplift)</f>
        <v/>
      </c>
      <c r="N64" s="20">
        <f>E64+LTDelay</f>
        <v/>
      </c>
      <c r="O64" s="21">
        <f>IF(Mode="Global",NORMSINV(GlobalSL),J64)</f>
        <v/>
      </c>
      <c r="P64" s="22">
        <f>M64*(N64+1)</f>
        <v/>
      </c>
      <c r="Q64" s="19">
        <f>I64*(1+Uplift)*SQRT((N64+1)/(E64+1))</f>
        <v/>
      </c>
      <c r="R64" s="22">
        <f>O64*Q64</f>
        <v/>
      </c>
      <c r="S64" s="22">
        <f>P64+R64</f>
        <v/>
      </c>
      <c r="T64" s="22">
        <f>K64+L64</f>
        <v/>
      </c>
      <c r="U64" s="23">
        <f>IF(S64-T64&lt;=0,0,MAX(G64,CEILING(S64-T64,F64)))</f>
        <v/>
      </c>
      <c r="V64" s="24">
        <f>U64*D64</f>
        <v/>
      </c>
      <c r="W64" s="24">
        <f>R64*D64</f>
        <v/>
      </c>
      <c r="X64" s="19">
        <f>IF(M64&gt;0,K64/M64,0)</f>
        <v/>
      </c>
      <c r="Y64" s="21">
        <f>Q64*(NORMDIST(O64,0,1,FALSE)-O64*(1-NORMSDIST(O64)))</f>
        <v/>
      </c>
      <c r="Z64" s="20">
        <f>IF(U64&gt;0,"Order",IF(T64&gt;1.3*S64,"Overstocked","Hold"))</f>
        <v/>
      </c>
      <c r="AA64" s="24">
        <f>W64*HoldRate</f>
        <v/>
      </c>
    </row>
  </sheetData>
  <autoFilter ref="A4:AA64"/>
  <conditionalFormatting sqref="Z5:Z64">
    <cfRule type="cellIs" priority="1" operator="equal" dxfId="0">
      <formula>"Order"</formula>
    </cfRule>
    <cfRule type="cellIs" priority="2" operator="equal" dxfId="1">
      <formula>"Overstocked"</formula>
    </cfRule>
    <cfRule type="cellIs" priority="3" operator="equal" dxfId="2">
      <formula>"Hold"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How the model works</t>
        </is>
      </c>
    </row>
    <row r="2">
      <c r="A2" s="26" t="inlineStr">
        <is>
          <t>Policy: weekly-review, order-up-to (base stock).  Order-up-to S = demand over the protection interval + safety stock.</t>
        </is>
      </c>
    </row>
    <row r="3">
      <c r="A3" s="26" t="inlineStr">
        <is>
          <t>Protection interval = lead time + 1 review week.  Safety stock = z x sigma, where sigma is the std of forecast error over that interval.</t>
        </is>
      </c>
    </row>
    <row r="4">
      <c r="A4" s="26" t="inlineStr">
        <is>
          <t>Order quantity = S - inventory position (on hand + on order), rounded up to the case pack and at least the MOQ.</t>
        </is>
      </c>
    </row>
    <row r="5">
      <c r="A5" s="26" t="inlineStr">
        <is>
          <t>Optimised z comes from a PuLP cost-minimisation (holding cost vs. lost-sales cost, subject to a fill-rate floor).</t>
        </is>
      </c>
    </row>
    <row r="6">
      <c r="A6" s="26" t="inlineStr">
        <is>
          <t>Switch Assumptions!B4 to Global to see a one-size-fits-all service level, then compare safety stock value and expected fill rate.</t>
        </is>
      </c>
    </row>
    <row r="7">
      <c r="A7" s="26" t="inlineStr">
        <is>
          <t>Lead-time delay scales sigma by sqrt((L'+1)/(L+1)); demand uplift scales both the mean and sigma.</t>
        </is>
      </c>
    </row>
    <row r="8">
      <c r="A8" s="26" t="inlineStr">
        <is>
          <t>Expected shortage per week = sigma x G(z), where G is the standard normal loss function.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2026-10-28T04:28:11Z</dcterms:created>
  <dcterms:modified xsi:type="dcterms:W3CDTF">2026-10-28T04:28:11Z</dcterms:modified>
</cp:coreProperties>
</file>